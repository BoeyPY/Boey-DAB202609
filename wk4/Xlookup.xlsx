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yjac\Desktop\Data Analytics\Boey-DAB202609\wk4\"/>
    </mc:Choice>
  </mc:AlternateContent>
  <xr:revisionPtr revIDLastSave="0" documentId="13_ncr:1_{E8AFD082-5A1D-4DCA-A4A9-2E6A209B267C}" xr6:coauthVersionLast="47" xr6:coauthVersionMax="47" xr10:uidLastSave="{00000000-0000-0000-0000-000000000000}"/>
  <bookViews>
    <workbookView xWindow="28680" yWindow="-120" windowWidth="29040" windowHeight="15720" activeTab="2"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3" l="1"/>
  <c r="F13" i="3"/>
  <c r="F8" i="3"/>
  <c r="G17" i="2"/>
  <c r="G14" i="2"/>
  <c r="G10" i="2"/>
  <c r="G13" i="2"/>
  <c r="G12" i="2"/>
  <c r="G6" i="2"/>
  <c r="A15" i="3" a="1"/>
  <c r="A15" i="3" s="1"/>
  <c r="H10" i="2"/>
  <c r="H13" i="2"/>
  <c r="H6" i="2"/>
  <c r="H12" i="2"/>
  <c r="A1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<sst xmlns="http://schemas.openxmlformats.org/spreadsheetml/2006/main" count="79" uniqueCount="71">
  <si>
    <t>Feature</t>
  </si>
  <si>
    <t>VLOOKUP</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</si>
  <si>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</si>
  <si>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</si>
  <si>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</si>
  <si>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</si>
  <si>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</si>
  <si>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</si>
  <si>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</si>
  <si>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</si>
  <si>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</si>
  <si>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</si>
  <si>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</si>
  <si>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</si>
  <si>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</si>
  <si>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</si>
  <si>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</si>
  <si>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</si>
  <si>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</si>
  <si>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</si>
  <si>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</si>
  <si>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</si>
  <si>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</si>
  <si>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</si>
  <si>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</si>
  <si>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</si>
  <si>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</si>
  <si>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</si>
  <si>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</si>
  <si>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</si>
  <si>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</si>
  <si>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</si>
  <si>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</si>
  <si>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</si>
  <si>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</si>
  <si>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</si>
  <si>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</si>
  <si>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</si>
  <si>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</si>
  <si>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</si>
  <si>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</si>
  <si>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</si>
  <si>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</si>
  <si>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</si>
  <si>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</si>
  <si>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</si>
  <si>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</si>
  <si>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</si>
  <si>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</si>
  <si>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</si>
  <si>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</si>
  <si>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</si>
  <si>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Carlos Evans</t>
  </si>
  <si>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</si>
  <si>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</si>
  <si>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</si>
  <si>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</si>
  <si>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</si>
  <si>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</si>
  <si>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</si>
  <si>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</si>
  <si>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</si>
  <si>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</si>
  <si>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</si>
  <si>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</si>
  <si>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</si>
  <si>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</si>
  <si>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</si>
  <si>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</si>
  <si>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</si>
  <si>
    <t>Column four is hardcoded, if you insert another column in the table, vlookup will broke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</si>
</sst>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0" fontId="0" fillId="0" borderId="0" xfId="0" applyAlignment="1">
      <alignment horizontal="center"/>
    </xf>
    <xf numFmtId="0" fontId="2" fillId="0" borderId="1" xfId="0" applyFont="1" applyBorder="1" applyAlignment="1">
      <alignment horizontal="right" vertical="center" readingOrder="1"/>
    </xf>
    <xf numFmtId="6" fontId="2" fillId="0" borderId="1" xfId="0" applyNumberFormat="1" applyFont="1" applyBorder="1" applyAlignment="1">
      <alignment vertical="center" readingOrder="1"/>
    </xf>
    <xf numFmtId="0" fontId="0" fillId="0" borderId="0" xfId="0" applyAlignment="1"/>
    <xf numFmtId="0" fontId="1" fillId="0" borderId="0" xfId="0" applyFont="1" applyAlignment="1"/>
    <xf numFmtId="0" fontId="3" fillId="0" borderId="0" xfId="0" applyFont="1" applyAlignment="1">
      <alignment horizontal="right" vertical="center" readingOrder="1"/>
    </xf>
    <xf numFmtId="0" fontId="2" fillId="0" borderId="0" xfId="0" applyFont="1" applyAlignment="1">
      <alignment horizontal="right" vertical="center" readingOrder="1"/>
    </xf>
    <xf numFmtId="0" fontId="7" fillId="0" borderId="0" xfId="0" applyFont="1" applyAlignment="1">
      <alignment horizontal="center" vertical="center" readingOrder="1"/>
    </xf>
    <xf numFmtId="0" fontId="3" fillId="2" borderId="0" xfId="0" applyFont="1" applyFill="1" applyAlignment="1">
      <alignment horizontal="right" vertical="center" wrapText="1" indent="1" readingOrder="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topLeftCell="A6" workbookViewId="0">
      <selection activeCell="O3" sqref="O3"/>
    </sheetView>
  </sheetViews>
  <sheetFormatPr defaultRowHeight="15"/>
  <cols>
    <col min="14" max="14" width="16.7109375" customWidth="1"/>
    <col min="15" max="15" width="18.85546875" customWidth="1"/>
    <col min="16" max="16" width="21.85546875" customWidth="1"/>
    <col min="17" max="17" width="20.7109375" customWidth="1"/>
  </cols>
  <sheetData>
    <row r="2" spans="14:17">
      <c r="N2" s="1" t="s">
        <v>25</v>
      </c>
    </row>
    <row r="3" spans="14:17">
      <c r="N3" s="6" t="s">
        <v>0</v>
      </c>
      <c r="O3" s="6" t="s">
        <v>1</v>
      </c>
      <c r="P3" s="6" t="s">
        <v>2</v>
      </c>
      <c r="Q3" s="6" t="s">
        <v>3</v>
      </c>
    </row>
    <row r="4" spans="14:17" ht="30">
      <c r="N4" s="2" t="s">
        <v>4</v>
      </c>
      <c r="O4" s="4" t="s">
        <v>5</v>
      </c>
      <c r="P4" s="4" t="s">
        <v>6</v>
      </c>
      <c r="Q4" s="5" t="s">
        <v>7</v>
      </c>
    </row>
    <row r="5" spans="14:17" ht="30">
      <c r="N5" s="2" t="s">
        <v>8</v>
      </c>
      <c r="O5" s="4" t="s">
        <v>9</v>
      </c>
      <c r="P5" s="2" t="s">
        <v>10</v>
      </c>
      <c r="Q5" s="3" t="s">
        <v>10</v>
      </c>
    </row>
    <row r="6" spans="14:17" ht="57.75">
      <c r="N6" s="2" t="s">
        <v>11</v>
      </c>
      <c r="O6" s="2" t="s">
        <v>12</v>
      </c>
      <c r="P6" s="2" t="s">
        <v>13</v>
      </c>
      <c r="Q6" s="3" t="s">
        <v>14</v>
      </c>
    </row>
    <row r="7" spans="14:17" ht="42.75">
      <c r="N7" s="2" t="s">
        <v>15</v>
      </c>
      <c r="O7" s="4" t="s">
        <v>16</v>
      </c>
      <c r="P7" s="4" t="s">
        <v>17</v>
      </c>
      <c r="Q7" s="5" t="s">
        <v>17</v>
      </c>
    </row>
    <row r="8" spans="14:17" ht="57">
      <c r="N8" s="2" t="s">
        <v>18</v>
      </c>
      <c r="O8" s="4" t="s">
        <v>19</v>
      </c>
      <c r="P8" s="4" t="s">
        <v>20</v>
      </c>
      <c r="Q8" s="5" t="s">
        <v>21</v>
      </c>
    </row>
    <row r="9" spans="14:17" ht="42.75">
      <c r="N9" s="2" t="s">
        <v>22</v>
      </c>
      <c r="O9" s="4" t="s">
        <v>23</v>
      </c>
      <c r="P9" s="4" t="s">
        <v>23</v>
      </c>
      <c r="Q9" s="5"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I21"/>
  <sheetViews>
    <sheetView workbookViewId="0">
      <selection activeCell="G19" sqref="G19"/>
    </sheetView>
  </sheetViews>
  <sheetFormatPr defaultRowHeight="15"/>
  <cols>
    <col min="1" max="1" width="13.5703125" customWidth="1"/>
    <col min="2" max="2" width="20.85546875" customWidth="1"/>
    <col min="3" max="3" width="12.42578125" customWidth="1"/>
    <col min="4" max="4" width="11" customWidth="1"/>
    <col min="6" max="6" width="11.7109375" customWidth="1"/>
    <col min="7" max="7" width="51.28515625" customWidth="1"/>
    <col min="8" max="8" width="30.28515625" customWidth="1"/>
  </cols>
  <sheetData>
    <row r="1" spans="1:9" ht="24">
      <c r="A1" s="7" t="s">
        <v>49</v>
      </c>
    </row>
    <row r="3" spans="1:9">
      <c r="A3" s="8" t="s">
        <v>26</v>
      </c>
    </row>
    <row r="5" spans="1:9">
      <c r="A5" s="6" t="s">
        <v>38</v>
      </c>
      <c r="B5" s="6" t="s">
        <v>39</v>
      </c>
      <c r="C5" s="6" t="s">
        <v>40</v>
      </c>
      <c r="D5" s="6" t="s">
        <v>41</v>
      </c>
      <c r="G5" s="8" t="s">
        <v>43</v>
      </c>
    </row>
    <row r="6" spans="1:9" s="13" customFormat="1">
      <c r="A6" s="11" t="s">
        <v>27</v>
      </c>
      <c r="B6" s="11" t="s">
        <v>28</v>
      </c>
      <c r="C6" s="11" t="s">
        <v>29</v>
      </c>
      <c r="D6" s="12">
        <v>1200</v>
      </c>
      <c r="F6" s="17" t="s">
        <v>44</v>
      </c>
      <c r="G6" s="13">
        <f>VLOOKUP(A11,A6:D9,4,FALSE)</f>
        <v>800</v>
      </c>
      <c r="H6" t="str">
        <f ca="1">_xlfn.FORMULATEXT(G6)</f>
        <v>=VLOOKUP(A11,A6:D9,4,FALSE)</v>
      </c>
      <c r="I6" s="13" t="s">
        <v>70</v>
      </c>
    </row>
    <row r="7" spans="1:9" s="13" customFormat="1">
      <c r="A7" s="11" t="s">
        <v>30</v>
      </c>
      <c r="B7" s="11" t="s">
        <v>31</v>
      </c>
      <c r="C7" s="11" t="s">
        <v>29</v>
      </c>
      <c r="D7" s="12">
        <v>800</v>
      </c>
      <c r="F7" s="10"/>
    </row>
    <row r="8" spans="1:9" s="13" customFormat="1">
      <c r="A8" s="11" t="s">
        <v>32</v>
      </c>
      <c r="B8" s="11" t="s">
        <v>33</v>
      </c>
      <c r="C8" s="11" t="s">
        <v>34</v>
      </c>
      <c r="D8" s="12">
        <v>350</v>
      </c>
      <c r="F8" s="10"/>
    </row>
    <row r="9" spans="1:9" s="13" customFormat="1">
      <c r="A9" s="11" t="s">
        <v>35</v>
      </c>
      <c r="B9" s="11" t="s">
        <v>36</v>
      </c>
      <c r="C9" s="11" t="s">
        <v>37</v>
      </c>
      <c r="D9" s="12">
        <v>80</v>
      </c>
      <c r="F9" s="10"/>
      <c r="G9" s="14" t="s">
        <v>45</v>
      </c>
    </row>
    <row r="10" spans="1:9">
      <c r="F10" s="10" t="s">
        <v>44</v>
      </c>
      <c r="G10">
        <f>INDEX(D6:D9,MATCH(A11,A6:A9,0))</f>
        <v>800</v>
      </c>
      <c r="H10" t="str">
        <f ca="1">_xlfn.FORMULATEXT(G10)</f>
        <v>=INDEX(D6:D9,MATCH(A11,A6:A9,0))</v>
      </c>
    </row>
    <row r="11" spans="1:9" s="13" customFormat="1">
      <c r="A11" s="15" t="s">
        <v>30</v>
      </c>
      <c r="B11" s="16" t="s">
        <v>42</v>
      </c>
      <c r="F11" s="10"/>
    </row>
    <row r="12" spans="1:9">
      <c r="F12" s="10"/>
      <c r="G12">
        <f>MATCH(A11,A6:A9,0)</f>
        <v>2</v>
      </c>
      <c r="H12" t="str">
        <f ca="1">_xlfn.FORMULATEXT(G12)</f>
        <v>=MATCH(A11,A6:A9,0)</v>
      </c>
    </row>
    <row r="13" spans="1:9">
      <c r="F13" s="10"/>
      <c r="G13">
        <f>INDEX(D6:D9,2)</f>
        <v>800</v>
      </c>
      <c r="H13" t="str">
        <f ca="1">_xlfn.FORMULATEXT(G13)</f>
        <v>=INDEX(D6:D9,2)</v>
      </c>
    </row>
    <row r="14" spans="1:9">
      <c r="F14" s="10"/>
      <c r="G14">
        <f>INDEX(D6:D9,MATCH(A11,A6:A9,0))</f>
        <v>800</v>
      </c>
    </row>
    <row r="15" spans="1:9">
      <c r="F15" s="10"/>
    </row>
    <row r="16" spans="1:9">
      <c r="F16" s="10"/>
      <c r="G16" s="8" t="s">
        <v>46</v>
      </c>
    </row>
    <row r="17" spans="6:7">
      <c r="F17" s="10" t="s">
        <v>44</v>
      </c>
      <c r="G17">
        <f>_xlfn.XLOOKUP(A11,A6:A9,D6:D9,"Value not Found",0)</f>
        <v>800</v>
      </c>
    </row>
    <row r="20" spans="6:7">
      <c r="G20" s="8" t="s">
        <v>48</v>
      </c>
    </row>
    <row r="21" spans="6:7">
      <c r="G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F17"/>
  <sheetViews>
    <sheetView tabSelected="1" topLeftCell="A3" workbookViewId="0">
      <selection activeCell="F26" sqref="F26"/>
    </sheetView>
  </sheetViews>
  <sheetFormatPr defaultRowHeight="15"/>
  <cols>
    <col min="1" max="1" width="15.85546875" customWidth="1"/>
    <col min="2" max="2" width="17" customWidth="1"/>
    <col min="3" max="3" width="17.85546875" customWidth="1"/>
    <col min="6" max="6" width="11.85546875" customWidth="1"/>
  </cols>
  <sheetData>
    <row r="1" spans="1:6" ht="24">
      <c r="A1" s="7" t="s">
        <v>50</v>
      </c>
    </row>
    <row r="3" spans="1:6">
      <c r="A3" s="8" t="s">
        <v>51</v>
      </c>
    </row>
    <row r="5" spans="1:6">
      <c r="A5" s="6" t="s">
        <v>61</v>
      </c>
      <c r="B5" s="6" t="s">
        <v>62</v>
      </c>
      <c r="C5" s="6" t="s">
        <v>63</v>
      </c>
      <c r="F5" s="8" t="s">
        <v>65</v>
      </c>
    </row>
    <row r="6" spans="1:6">
      <c r="A6" s="9" t="s">
        <v>52</v>
      </c>
      <c r="B6" s="9" t="s">
        <v>53</v>
      </c>
      <c r="C6" s="5" t="s">
        <v>54</v>
      </c>
      <c r="F6" s="8" t="s">
        <v>66</v>
      </c>
    </row>
    <row r="7" spans="1:6">
      <c r="A7" s="9" t="s">
        <v>55</v>
      </c>
      <c r="B7" s="9" t="s">
        <v>56</v>
      </c>
      <c r="C7" s="5" t="s">
        <v>57</v>
      </c>
      <c r="F7" t="s">
        <v>67</v>
      </c>
    </row>
    <row r="8" spans="1:6">
      <c r="A8" s="9" t="s">
        <v>58</v>
      </c>
      <c r="B8" s="9" t="s">
        <v>59</v>
      </c>
      <c r="C8" s="5" t="s">
        <v>60</v>
      </c>
      <c r="F8" t="e">
        <f>VLOOKUP(A10,A6:C8,1,FALSE)</f>
        <v>#N/A</v>
      </c>
    </row>
    <row r="10" spans="1:6">
      <c r="A10" s="18" t="s">
        <v>56</v>
      </c>
      <c r="B10" s="19" t="s">
        <v>64</v>
      </c>
      <c r="C10" s="19"/>
      <c r="D10" s="19"/>
    </row>
    <row r="12" spans="1:6">
      <c r="F12" s="8" t="s">
        <v>68</v>
      </c>
    </row>
    <row r="13" spans="1:6">
      <c r="F13" t="str">
        <f>INDEX('Ex2'!A6:A8,MATCH('Ex2'!A10,'Ex2'!B6:B8,0))</f>
        <v>Maria Santos</v>
      </c>
    </row>
    <row r="14" spans="1:6">
      <c r="A14" t="str">
        <f ca="1">+_xlfn.FORMULATEXT(A15)</f>
        <v>=XLOOKUP(A10, B6:B8, A6:C8)</v>
      </c>
    </row>
    <row r="15" spans="1:6">
      <c r="A15" t="str" cm="1">
        <f t="array" ref="A15:C15">_xlfn.XLOOKUP(A10, B6:B8, A6:C8)</f>
        <v>Maria Santos</v>
      </c>
      <c r="B15" t="str">
        <v>SN-1150</v>
      </c>
      <c r="C15" t="str">
        <v>Operations</v>
      </c>
    </row>
    <row r="16" spans="1:6">
      <c r="F16" s="8" t="s">
        <v>69</v>
      </c>
    </row>
    <row r="17" spans="6:6">
      <c r="F17" t="str">
        <f>_xlfn.XLOOKUP(A10,B6:B8,A6:A8)</f>
        <v>Maria Santos</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Pow Yee Kok</cp:lastModifiedBy>
  <dcterms:created xsi:type="dcterms:W3CDTF">2026-05-18T18:32:14Z</dcterms:created>
  <dcterms:modified xsi:type="dcterms:W3CDTF">2026-10-15T23:39:17Z</dcterms:modified>
</cp:coreProperties>
</file>