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yjac\Desktop\Data Analytics\Boey-DAB202609\wk3\"/>
    </mc:Choice>
  </mc:AlternateContent>
  <xr:revisionPtr revIDLastSave="0" documentId="13_ncr:1_{9A0023E0-0249-43C0-8E80-E649E7305436}" xr6:coauthVersionLast="47" xr6:coauthVersionMax="47" xr10:uidLastSave="{00000000-0000-0000-0000-000000000000}"/>
  <bookViews>
    <workbookView xWindow="28680" yWindow="-120" windowWidth="29040" windowHeight="15720" firstSheet="1" activeTab="8" xr2:uid="{00000000-000D-0000-FFFF-FFFF00000000}"/>
  </bookViews>
  <sheets>
    <sheet name="0.PEMDAS" sheetId="9" r:id="rId1"/>
    <sheet name="1. Cell References" sheetId="1" r:id="rId2"/>
    <sheet name="1.1 Sol_cell_references" sheetId="10" r:id="rId3"/>
    <sheet name="2. Named Ranges" sheetId="2" r:id="rId4"/>
    <sheet name="3. INDEX" sheetId="3" r:id="rId5"/>
    <sheet name="4. ISBLANK" sheetId="4" r:id="rId6"/>
    <sheet name="5. LEFT" sheetId="5" r:id="rId7"/>
    <sheet name="6. CONCATENATE" sheetId="6" r:id="rId8"/>
    <sheet name="7. DSUM" sheetId="7" r:id="rId9"/>
  </sheets>
  <definedNames>
    <definedName name="Regional_Sales">'2. Named Ranges'!$B$2:$B$5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C4" i="6"/>
  <c r="C2" i="6"/>
  <c r="B3" i="5"/>
  <c r="B4" i="5"/>
  <c r="B2" i="5"/>
  <c r="C3" i="4"/>
  <c r="C4" i="4"/>
  <c r="C2" i="4"/>
  <c r="F10" i="3"/>
  <c r="B7" i="3"/>
  <c r="C11" i="1"/>
  <c r="C12" i="1"/>
  <c r="D12" i="1"/>
  <c r="D11" i="1"/>
  <c r="B11" i="1"/>
  <c r="B12" i="1"/>
  <c r="F3" i="1"/>
  <c r="F4" i="1"/>
  <c r="F5" i="1"/>
  <c r="F2" i="1"/>
  <c r="E3" i="1"/>
  <c r="E4" i="1"/>
  <c r="E5" i="1"/>
  <c r="E2" i="1"/>
  <c r="D3" i="1"/>
  <c r="D4" i="1"/>
  <c r="D5" i="1"/>
  <c r="D2" i="1"/>
  <c r="B23" i="9"/>
  <c r="C13" i="9"/>
  <c r="B18" i="9"/>
  <c r="B13" i="9"/>
  <c r="B8" i="9"/>
  <c r="B3" i="9"/>
  <c r="B12" i="10"/>
  <c r="C11" i="10"/>
  <c r="B11" i="10"/>
  <c r="D12" i="10"/>
  <c r="C12" i="10"/>
  <c r="D11" i="10"/>
  <c r="D5" i="10"/>
  <c r="E4" i="10"/>
  <c r="D4" i="10"/>
  <c r="F4" i="10" s="1"/>
  <c r="D3" i="10"/>
  <c r="E2" i="10"/>
  <c r="F2" i="10" s="1"/>
  <c r="D2" i="10"/>
  <c r="E10" i="2"/>
  <c r="G10" i="3"/>
  <c r="F5" i="10" l="1"/>
  <c r="E3" i="10"/>
  <c r="F3" i="10" s="1"/>
  <c r="E5" i="10"/>
</calcChain>
</file>

<file path=xl/sharedStrings.xml><?xml version="1.0" encoding="utf-8"?>
<sst xmlns="http://schemas.openxmlformats.org/spreadsheetml/2006/main" count="122" uniqueCount="90">
  <si>
    <t>Price</t>
  </si>
  <si>
    <t>Laptop</t>
  </si>
  <si>
    <t>Mouse</t>
  </si>
  <si>
    <t>Monitor</t>
  </si>
  <si>
    <t>Solution Formula:</t>
  </si>
  <si>
    <t>Region</t>
  </si>
  <si>
    <t>Sales</t>
  </si>
  <si>
    <t>INSTRUCTIONS</t>
  </si>
  <si>
    <t>North</t>
  </si>
  <si>
    <t>1. Highlight B2:B5.</t>
  </si>
  <si>
    <t>South</t>
  </si>
  <si>
    <t>2. Go to the 'Name Box' (top left) and type 'Regional_Sales' then press Enter.</t>
  </si>
  <si>
    <t>East</t>
  </si>
  <si>
    <t>3. In B7, use the formula =SUM(Regional_Sales) to calculate the total.</t>
  </si>
  <si>
    <t>West</t>
  </si>
  <si>
    <t>Total Sales:</t>
  </si>
  <si>
    <t>ID</t>
  </si>
  <si>
    <t>Name</t>
  </si>
  <si>
    <t>Score</t>
  </si>
  <si>
    <t>Alice</t>
  </si>
  <si>
    <t>1. We want to find the name of the person in the 2nd data row (Bob).</t>
  </si>
  <si>
    <t>Bob</t>
  </si>
  <si>
    <t>2. In B7, use the INDEX function: =INDEX(A1:C4, 3, 2).</t>
  </si>
  <si>
    <t>Charlie</t>
  </si>
  <si>
    <t>3. Note: Row 3 in the range A1:C4 corresponds to Bob (Header is Row 1).</t>
  </si>
  <si>
    <t>Target Row</t>
  </si>
  <si>
    <t>Result Name</t>
  </si>
  <si>
    <t>User</t>
  </si>
  <si>
    <t>Email</t>
  </si>
  <si>
    <t>Status</t>
  </si>
  <si>
    <t>User1</t>
  </si>
  <si>
    <t>u1@test.com</t>
  </si>
  <si>
    <t>1. We want to flag missing emails.</t>
  </si>
  <si>
    <t>User2</t>
  </si>
  <si>
    <t>2. In C2, write: =IF(ISBLANK(B2), "Missing", "Complete").</t>
  </si>
  <si>
    <t>User3</t>
  </si>
  <si>
    <t>u3@test.com</t>
  </si>
  <si>
    <t>3. Drag the formula down to C4.</t>
  </si>
  <si>
    <t>Product Code</t>
  </si>
  <si>
    <t>City Code</t>
  </si>
  <si>
    <t>NYC-9921</t>
  </si>
  <si>
    <t>1. The first 3 characters represent the city.</t>
  </si>
  <si>
    <t>SFO-1022</t>
  </si>
  <si>
    <t>2. In B2, use the LEFT function to extract the city: =LEFT(A2, 3).</t>
  </si>
  <si>
    <t>LON-5542</t>
  </si>
  <si>
    <t>3. Drag down to B4.</t>
  </si>
  <si>
    <t>First Name</t>
  </si>
  <si>
    <t>Last Name</t>
  </si>
  <si>
    <t>Full Name</t>
  </si>
  <si>
    <t>Jane</t>
  </si>
  <si>
    <t>Doe</t>
  </si>
  <si>
    <t>1. Combine First and Last names with a space.</t>
  </si>
  <si>
    <t>John</t>
  </si>
  <si>
    <t>Smith</t>
  </si>
  <si>
    <t>Alan</t>
  </si>
  <si>
    <t>Turing</t>
  </si>
  <si>
    <t>3. Drag down to C4.</t>
  </si>
  <si>
    <t>Category</t>
  </si>
  <si>
    <t>Total</t>
  </si>
  <si>
    <t>Fruit</t>
  </si>
  <si>
    <t>Veg</t>
  </si>
  <si>
    <t>Product</t>
  </si>
  <si>
    <t>Solution SUMIF:</t>
  </si>
  <si>
    <t>Quantity</t>
  </si>
  <si>
    <t>Subtotal (Relative)</t>
  </si>
  <si>
    <t>Tax Amount (Absolute)</t>
  </si>
  <si>
    <t>Total Price</t>
  </si>
  <si>
    <t>Global Tax Rate</t>
  </si>
  <si>
    <t>EXERCISE INSTRUCTIONS</t>
  </si>
  <si>
    <t>1. RELATIVE: In D2, calculate Subtotal (Price * Qty). Drag down.</t>
  </si>
  <si>
    <t>2. ABSOLUTE: In E2, calculate Tax (Subtotal * Tax Rate in $I$1). Drag down.</t>
  </si>
  <si>
    <t>Keyboard</t>
  </si>
  <si>
    <t>3. RELATIVE: In F2, add Subtotal + Tax. Drag down.</t>
  </si>
  <si>
    <t>4. MIXED: In B11, calculate Growth (Col A * Row 9).</t>
  </si>
  <si>
    <t>5. Use =$A11 * B$9 so you can drag it across the whole table.</t>
  </si>
  <si>
    <t>Mixed Reference Exercise: Multi-Year Projections</t>
  </si>
  <si>
    <t>Year Index (Locked Row) -&gt;</t>
  </si>
  <si>
    <t>Base Growth (Locked Col)</t>
  </si>
  <si>
    <t>Exercise 1: The Power of Parentheses</t>
  </si>
  <si>
    <r>
      <t>Expression:</t>
    </r>
    <r>
      <rPr>
        <sz val="11"/>
        <color rgb="FF000000"/>
        <rFont val="Calibri"/>
        <family val="2"/>
        <scheme val="minor"/>
      </rPr>
      <t xml:space="preserve"> 5 X (2 + 3)</t>
    </r>
  </si>
  <si>
    <t>Solution</t>
  </si>
  <si>
    <t>Exercise 2: Exponents vs. Multiplication</t>
  </si>
  <si>
    <r>
      <t>Expression:</t>
    </r>
    <r>
      <rPr>
        <sz val="11"/>
        <color rgb="FF000000"/>
        <rFont val="Calibri"/>
        <family val="2"/>
        <scheme val="minor"/>
      </rPr>
      <t xml:space="preserve"> 3 X 2</t>
    </r>
    <r>
      <rPr>
        <vertAlign val="superscript"/>
        <sz val="11"/>
        <color rgb="FF000000"/>
        <rFont val="Calibri"/>
        <family val="2"/>
        <scheme val="minor"/>
      </rPr>
      <t>2</t>
    </r>
  </si>
  <si>
    <t>Exercise 3: Left-to-Right Rule (Multiplication &amp; Division)</t>
  </si>
  <si>
    <r>
      <t>Expression:</t>
    </r>
    <r>
      <rPr>
        <sz val="11"/>
        <color rgb="FF000000"/>
        <rFont val="Calibri"/>
        <family val="2"/>
        <scheme val="minor"/>
      </rPr>
      <t xml:space="preserve"> 12 ÷ 3 X 2</t>
    </r>
  </si>
  <si>
    <t>Exercise 4: The Addition/Subtraction Tie-Breaker</t>
  </si>
  <si>
    <r>
      <t>Expression:</t>
    </r>
    <r>
      <rPr>
        <sz val="11"/>
        <color rgb="FF000000"/>
        <rFont val="Calibri"/>
        <family val="2"/>
        <scheme val="minor"/>
      </rPr>
      <t xml:space="preserve"> 10 - 5 + 2</t>
    </r>
  </si>
  <si>
    <t>Exercise 5: Putting it All Together</t>
  </si>
  <si>
    <r>
      <t>Expression:</t>
    </r>
    <r>
      <rPr>
        <sz val="11"/>
        <color rgb="FF000000"/>
        <rFont val="Calibri"/>
        <family val="2"/>
        <scheme val="minor"/>
      </rPr>
      <t xml:space="preserve"> 8 + (6 ÷ 2) X 3</t>
    </r>
    <r>
      <rPr>
        <vertAlign val="superscript"/>
        <sz val="11"/>
        <color rgb="FF000000"/>
        <rFont val="Calibri"/>
        <family val="2"/>
        <scheme val="minor"/>
      </rPr>
      <t>2</t>
    </r>
    <r>
      <rPr>
        <sz val="11"/>
        <color rgb="FF000000"/>
        <rFont val="Calibri"/>
        <family val="2"/>
        <scheme val="minor"/>
      </rPr>
      <t xml:space="preserve"> - 4</t>
    </r>
  </si>
  <si>
    <r>
      <t xml:space="preserve">2. In C2, use: =CONCATENATE(A2, " ", B2) or </t>
    </r>
    <r>
      <rPr>
        <sz val="11"/>
        <color rgb="FFFF0000"/>
        <rFont val="Calibri"/>
        <family val="2"/>
        <scheme val="minor"/>
      </rPr>
      <t>=A2 &amp; " " &amp; B2.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</si>
</sst>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CC0000"/>
      <name val="Calibri"/>
      <family val="2"/>
    </font>
    <font>
      <b/>
      <sz val="11"/>
      <color rgb="FFFFFFFF"/>
      <name val="Calibri"/>
      <family val="2"/>
    </font>
    <font>
      <b/>
      <sz val="11"/>
      <name val="Calibri"/>
      <family val="2"/>
    </font>
    <font>
      <b/>
      <sz val="11"/>
      <color theme="1"/>
      <name val="Calibri"/>
      <family val="2"/>
      <scheme val="minor"/>
    </font>
    <font>
      <b/>
      <sz val="14"/>
      <color rgb="FFFF0000"/>
      <name val="Calibri"/>
      <family val="2"/>
    </font>
    <font>
      <b/>
      <sz val="12"/>
      <name val="Calibri"/>
      <family val="2"/>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color rgb="FFFF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4F81BD"/>
        <bgColor rgb="FF4F81BD"/>
      </patternFill>
    </fill>
  </fills>
  <borders count="1">
    <border>
      <left/>
      <right/>
      <top/>
      <bottom/>
      <diagonal/>
    </border>
  </borders>
  <cellStyleXfs count="1">
    <xf numFmtId="0" fontId="0" fillId="0" borderId="0"/>
  </cellStyleXfs>
  <cellXfs count="14">
    <xf numFmtId="0" fontId="0" fillId="0" borderId="0" xfId="0"/>
    <xf numFmtId="0" fontId="2" fillId="2" borderId="0" xfId="0" applyFont="1" applyFill="1"/>
    <xf numFmtId="0" fontId="3" fillId="0" borderId="0" xfId="0" applyFont="1"/>
    <xf numFmtId="0" fontId="1" fillId="0" borderId="0" xfId="0" applyFont="1"/>
    <xf numFmtId="0" fontId="4" fillId="0" borderId="0" xfId="0" applyFont="1"/>
    <xf numFmtId="0" fontId="2" fillId="2" borderId="0" xfId="0" applyFont="1" applyFill="1" applyAlignment="1">
      <alignment horizontal="center"/>
    </xf>
    <xf numFmtId="0" fontId="2" fillId="3" borderId="0" xfId="0" applyFont="1" applyFill="1"/>
    <xf numFmtId="9" fontId="0" fillId="0" borderId="0" xfId="0" applyNumberFormat="1"/>
    <xf numFmtId="0" fontId="5" fillId="0" borderId="0" xfId="0" applyFont="1"/>
    <xf numFmtId="0" fontId="6" fillId="0" borderId="0" xfId="0" applyFont="1"/>
    <xf numFmtId="0" fontId="3" fillId="0" borderId="0" xfId="0" applyFont="1" applyAlignment="1">
      <alignment wrapText="1"/>
    </xf>
    <xf numFmtId="0" fontId="2" fillId="3" borderId="0" xfId="0" applyFont="1" applyFill="1" applyAlignment="1">
      <alignment horizontal="center"/>
    </xf>
    <xf numFmtId="0" fontId="2" fillId="3" borderId="0" xfId="0" applyFont="1" applyFill="1" applyAlignment="1">
      <alignment horizontal="center" wrapText="1"/>
    </xf>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15</xdr:col>
      <xdr:colOff>53340</xdr:colOff>
      <xdr:row>0</xdr:row>
      <xdr:rowOff>129540</xdr:rowOff>
    </xdr:from>
    <xdr:to>
      <xdr:col>21</xdr:col>
      <xdr:colOff>527050</xdr:colOff>
      <xdr:row>49</xdr:row>
      <xdr:rowOff>12700</xdr:rowOff>
    </xdr:to>
    <xdr:sp macro="" textlink="">
      <xdr:nvSpPr>
        <xdr:cNvPr id="2" name="TextBox 1">
          <a:extLst>
            <a:ext uri="{FF2B5EF4-FFF2-40B4-BE49-F238E27FC236}">
              <a16:creationId xmlns:a16="http://schemas.microsoft.com/office/drawing/2014/main" id="{E710878F-D2A7-4932-9F87-45F306CF9F58}"/>
            </a:ext>
          </a:extLst>
        </xdr:cNvPr>
        <xdr:cNvSpPr txBox="1"/>
      </xdr:nvSpPr>
      <xdr:spPr>
        <a:xfrm>
          <a:off x="9197340" y="129540"/>
          <a:ext cx="4131310" cy="8944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Exercise 1: The Power of Parentheses</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5 X (2 + 3)</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Parentheses always come first.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operation inside the parentheses: (2 + 3) = 5.</a:t>
          </a:r>
        </a:p>
        <a:p>
          <a:pPr lvl="1"/>
          <a:r>
            <a:rPr lang="en-US" sz="1100">
              <a:solidFill>
                <a:schemeClr val="dk1"/>
              </a:solidFill>
              <a:effectLst/>
              <a:latin typeface="+mn-lt"/>
              <a:ea typeface="+mn-ea"/>
              <a:cs typeface="+mn-cs"/>
            </a:rPr>
            <a:t>Now multiply: 5 X 5 = 25.</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5 X 2 first (which would result in 13).</a:t>
          </a:r>
        </a:p>
        <a:p>
          <a:br>
            <a:rPr lang="en-US"/>
          </a:br>
          <a:endParaRPr lang="en-US"/>
        </a:p>
        <a:p>
          <a:r>
            <a:rPr lang="en-US" sz="1100" b="1">
              <a:solidFill>
                <a:schemeClr val="dk1"/>
              </a:solidFill>
              <a:effectLst/>
              <a:latin typeface="+mn-lt"/>
              <a:ea typeface="+mn-ea"/>
              <a:cs typeface="+mn-cs"/>
            </a:rPr>
            <a:t>Exercise 2: Exponents vs. Multiplication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3 X 2</a:t>
          </a:r>
          <a:r>
            <a:rPr lang="en-US" sz="1100" baseline="30000">
              <a:solidFill>
                <a:schemeClr val="dk1"/>
              </a:solidFill>
              <a:effectLst/>
              <a:latin typeface="+mn-lt"/>
              <a:ea typeface="+mn-ea"/>
              <a:cs typeface="+mn-cs"/>
            </a:rPr>
            <a:t>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You must "square" or "power" the number before you multiply it.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Solve the exponent: 2</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a:solidFill>
                <a:schemeClr val="dk1"/>
              </a:solidFill>
              <a:effectLst/>
              <a:latin typeface="+mn-lt"/>
              <a:ea typeface="+mn-ea"/>
              <a:cs typeface="+mn-cs"/>
            </a:rPr>
            <a:t>Now multiply: 3 X 4 = 12.</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Multiplying 3 X 2 first and then squaring the result (which would result in 36).</a:t>
          </a:r>
        </a:p>
        <a:p>
          <a:br>
            <a:rPr lang="en-US"/>
          </a:br>
          <a:endParaRPr lang="en-US"/>
        </a:p>
        <a:p>
          <a:r>
            <a:rPr lang="en-US" sz="1100" b="1">
              <a:solidFill>
                <a:schemeClr val="dk1"/>
              </a:solidFill>
              <a:effectLst/>
              <a:latin typeface="+mn-lt"/>
              <a:ea typeface="+mn-ea"/>
              <a:cs typeface="+mn-cs"/>
            </a:rPr>
            <a:t>Exercise 3: Left-to-Right Rule (Multiplication &amp; Division)</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12 ÷ 3 X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Multiplication and Division are "equal partners." You solve them in the order they appear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12 ÷ 3 = 4.</a:t>
          </a:r>
        </a:p>
        <a:p>
          <a:pPr lvl="1"/>
          <a:r>
            <a:rPr lang="en-US" sz="1100">
              <a:solidFill>
                <a:schemeClr val="dk1"/>
              </a:solidFill>
              <a:effectLst/>
              <a:latin typeface="+mn-lt"/>
              <a:ea typeface="+mn-ea"/>
              <a:cs typeface="+mn-cs"/>
            </a:rPr>
            <a:t>Next, solve 4 X 2 = 8.</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Thinking "M" comes before "D" in the acronym, so you multiply 3 X 2 first (which would result in 2).</a:t>
          </a:r>
        </a:p>
        <a:p>
          <a:br>
            <a:rPr lang="en-US"/>
          </a:br>
          <a:endParaRPr lang="en-US"/>
        </a:p>
        <a:p>
          <a:r>
            <a:rPr lang="en-US" sz="1100" b="1">
              <a:solidFill>
                <a:schemeClr val="dk1"/>
              </a:solidFill>
              <a:effectLst/>
              <a:latin typeface="+mn-lt"/>
              <a:ea typeface="+mn-ea"/>
              <a:cs typeface="+mn-cs"/>
            </a:rPr>
            <a:t>Exercise 4: The Addition/Subtraction Tie-Breaker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10 - 5 + 2</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Just like multiplication and division, addition and subtraction are equal. You solve them from left to right.</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Move left to right: First, solve 10 - 5 = 5.</a:t>
          </a:r>
        </a:p>
        <a:p>
          <a:pPr lvl="1"/>
          <a:r>
            <a:rPr lang="en-US" sz="1100">
              <a:solidFill>
                <a:schemeClr val="dk1"/>
              </a:solidFill>
              <a:effectLst/>
              <a:latin typeface="+mn-lt"/>
              <a:ea typeface="+mn-ea"/>
              <a:cs typeface="+mn-cs"/>
            </a:rPr>
            <a:t>Next, solve 5 + 2 = 7.</a:t>
          </a:r>
        </a:p>
        <a:p>
          <a:r>
            <a:rPr lang="en-US" sz="1100" b="1">
              <a:solidFill>
                <a:schemeClr val="dk1"/>
              </a:solidFill>
              <a:effectLst/>
              <a:latin typeface="+mn-lt"/>
              <a:ea typeface="+mn-ea"/>
              <a:cs typeface="+mn-cs"/>
            </a:rPr>
            <a:t>Common Mistake:</a:t>
          </a:r>
          <a:r>
            <a:rPr lang="en-US" sz="1100">
              <a:solidFill>
                <a:schemeClr val="dk1"/>
              </a:solidFill>
              <a:effectLst/>
              <a:latin typeface="+mn-lt"/>
              <a:ea typeface="+mn-ea"/>
              <a:cs typeface="+mn-cs"/>
            </a:rPr>
            <a:t> Adding 5 + 2 first (which would result in 3).</a:t>
          </a:r>
        </a:p>
        <a:p>
          <a:br>
            <a:rPr lang="en-US"/>
          </a:br>
          <a:endParaRPr lang="en-US"/>
        </a:p>
        <a:p>
          <a:r>
            <a:rPr lang="en-US" sz="1100" b="1">
              <a:solidFill>
                <a:schemeClr val="dk1"/>
              </a:solidFill>
              <a:effectLst/>
              <a:latin typeface="+mn-lt"/>
              <a:ea typeface="+mn-ea"/>
              <a:cs typeface="+mn-cs"/>
            </a:rPr>
            <a:t>Exercise 5: Putting it All Together</a:t>
          </a:r>
        </a:p>
        <a:p>
          <a:r>
            <a:rPr lang="en-US" sz="1100" b="1">
              <a:solidFill>
                <a:schemeClr val="dk1"/>
              </a:solidFill>
              <a:effectLst/>
              <a:latin typeface="+mn-lt"/>
              <a:ea typeface="+mn-ea"/>
              <a:cs typeface="+mn-cs"/>
            </a:rPr>
            <a:t>Expression:</a:t>
          </a:r>
          <a:r>
            <a:rPr lang="en-US" sz="1100">
              <a:solidFill>
                <a:schemeClr val="dk1"/>
              </a:solidFill>
              <a:effectLst/>
              <a:latin typeface="+mn-lt"/>
              <a:ea typeface="+mn-ea"/>
              <a:cs typeface="+mn-cs"/>
            </a:rPr>
            <a:t> 8 + (6 ÷ 2)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r>
            <a:rPr lang="en-US" sz="1100" b="1">
              <a:solidFill>
                <a:schemeClr val="dk1"/>
              </a:solidFill>
              <a:effectLst/>
              <a:latin typeface="+mn-lt"/>
              <a:ea typeface="+mn-ea"/>
              <a:cs typeface="+mn-cs"/>
            </a:rPr>
            <a:t>The Lesson:</a:t>
          </a:r>
          <a:r>
            <a:rPr lang="en-US" sz="1100">
              <a:solidFill>
                <a:schemeClr val="dk1"/>
              </a:solidFill>
              <a:effectLst/>
              <a:latin typeface="+mn-lt"/>
              <a:ea typeface="+mn-ea"/>
              <a:cs typeface="+mn-cs"/>
            </a:rPr>
            <a:t> Following the full hierarchy.</a:t>
          </a:r>
        </a:p>
        <a:p>
          <a:r>
            <a:rPr lang="en-US" sz="1100" b="1">
              <a:solidFill>
                <a:schemeClr val="dk1"/>
              </a:solidFill>
              <a:effectLst/>
              <a:latin typeface="+mn-lt"/>
              <a:ea typeface="+mn-ea"/>
              <a:cs typeface="+mn-cs"/>
            </a:rPr>
            <a:t>Step-by-Step:</a:t>
          </a:r>
          <a:endParaRPr lang="en-US" sz="1100">
            <a:solidFill>
              <a:schemeClr val="dk1"/>
            </a:solidFill>
            <a:effectLst/>
            <a:latin typeface="+mn-lt"/>
            <a:ea typeface="+mn-ea"/>
            <a:cs typeface="+mn-cs"/>
          </a:endParaRPr>
        </a:p>
        <a:p>
          <a:pPr lvl="1"/>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6 ÷ 2 = 3. Expression is now: 8 + 3 X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- 4.</a:t>
          </a:r>
        </a:p>
        <a:p>
          <a:pPr lvl="1"/>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3</a:t>
          </a:r>
          <a:r>
            <a:rPr lang="en-US" sz="1100" baseline="30000">
              <a:solidFill>
                <a:schemeClr val="dk1"/>
              </a:solidFill>
              <a:effectLst/>
              <a:latin typeface="+mn-lt"/>
              <a:ea typeface="+mn-ea"/>
              <a:cs typeface="+mn-cs"/>
            </a:rPr>
            <a:t>2</a:t>
          </a:r>
          <a:r>
            <a:rPr lang="en-US" sz="1100">
              <a:solidFill>
                <a:schemeClr val="dk1"/>
              </a:solidFill>
              <a:effectLst/>
              <a:latin typeface="+mn-lt"/>
              <a:ea typeface="+mn-ea"/>
              <a:cs typeface="+mn-cs"/>
            </a:rPr>
            <a:t> = 9$. Expression is now: 8 + 3 X 9 - 4.</a:t>
          </a:r>
        </a:p>
        <a:p>
          <a:pPr lvl="1"/>
          <a:r>
            <a:rPr lang="en-US" sz="1100" b="1">
              <a:solidFill>
                <a:schemeClr val="dk1"/>
              </a:solidFill>
              <a:effectLst/>
              <a:latin typeface="+mn-lt"/>
              <a:ea typeface="+mn-ea"/>
              <a:cs typeface="+mn-cs"/>
            </a:rPr>
            <a:t>M (Multiplication):</a:t>
          </a:r>
          <a:r>
            <a:rPr lang="en-US" sz="1100">
              <a:solidFill>
                <a:schemeClr val="dk1"/>
              </a:solidFill>
              <a:effectLst/>
              <a:latin typeface="+mn-lt"/>
              <a:ea typeface="+mn-ea"/>
              <a:cs typeface="+mn-cs"/>
            </a:rPr>
            <a:t> 3 X 9 = 27. Expression is now: 8 + 27 - 4.</a:t>
          </a:r>
        </a:p>
        <a:p>
          <a:pPr lvl="1"/>
          <a:r>
            <a:rPr lang="en-US" sz="1100" b="1">
              <a:solidFill>
                <a:schemeClr val="dk1"/>
              </a:solidFill>
              <a:effectLst/>
              <a:latin typeface="+mn-lt"/>
              <a:ea typeface="+mn-ea"/>
              <a:cs typeface="+mn-cs"/>
            </a:rPr>
            <a:t>A/S (Left to Right):</a:t>
          </a:r>
          <a:r>
            <a:rPr lang="en-US" sz="1100">
              <a:solidFill>
                <a:schemeClr val="dk1"/>
              </a:solidFill>
              <a:effectLst/>
              <a:latin typeface="+mn-lt"/>
              <a:ea typeface="+mn-ea"/>
              <a:cs typeface="+mn-cs"/>
            </a:rPr>
            <a:t> 8 + 27 = 35, then $35 - 4 = 31$</a:t>
          </a:r>
        </a:p>
        <a:p>
          <a:r>
            <a:rPr lang="en-US" sz="1100" b="1">
              <a:solidFill>
                <a:schemeClr val="dk1"/>
              </a:solidFill>
              <a:effectLst/>
              <a:latin typeface="+mn-lt"/>
              <a:ea typeface="+mn-ea"/>
              <a:cs typeface="+mn-cs"/>
            </a:rPr>
            <a:t>Final Answer:</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31</a:t>
          </a:r>
          <a:endParaRPr lang="en-US" sz="1100">
            <a:solidFill>
              <a:schemeClr val="dk1"/>
            </a:solidFill>
            <a:effectLst/>
            <a:latin typeface="+mn-lt"/>
            <a:ea typeface="+mn-ea"/>
            <a:cs typeface="+mn-cs"/>
          </a:endParaRPr>
        </a:p>
        <a:p>
          <a:endParaRPr lang="en-US" sz="1100"/>
        </a:p>
      </xdr:txBody>
    </xdr:sp>
    <xdr:clientData/>
  </xdr:twoCellAnchor>
  <xdr:twoCellAnchor>
    <xdr:from>
      <xdr:col>6</xdr:col>
      <xdr:colOff>0</xdr:colOff>
      <xdr:row>0</xdr:row>
      <xdr:rowOff>156210</xdr:rowOff>
    </xdr:from>
    <xdr:to>
      <xdr:col>14</xdr:col>
      <xdr:colOff>533400</xdr:colOff>
      <xdr:row>29</xdr:row>
      <xdr:rowOff>63500</xdr:rowOff>
    </xdr:to>
    <xdr:sp macro="" textlink="">
      <xdr:nvSpPr>
        <xdr:cNvPr id="3" name="TextBox 2">
          <a:extLst>
            <a:ext uri="{FF2B5EF4-FFF2-40B4-BE49-F238E27FC236}">
              <a16:creationId xmlns:a16="http://schemas.microsoft.com/office/drawing/2014/main" id="{1A0A0E5A-A0E1-5190-F63E-9182BC1DAC81}"/>
            </a:ext>
          </a:extLst>
        </xdr:cNvPr>
        <xdr:cNvSpPr txBox="1"/>
      </xdr:nvSpPr>
      <xdr:spPr>
        <a:xfrm>
          <a:off x="3657600" y="156210"/>
          <a:ext cx="5410200" cy="528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PEMDAS</a:t>
          </a:r>
          <a:r>
            <a:rPr lang="en-US" sz="1100">
              <a:solidFill>
                <a:schemeClr val="dk1"/>
              </a:solidFill>
              <a:effectLst/>
              <a:latin typeface="+mn-lt"/>
              <a:ea typeface="+mn-ea"/>
              <a:cs typeface="+mn-cs"/>
            </a:rPr>
            <a:t> is an acronym used to help remember the "Order of Operations" in mathematics. It tells you which steps to take first when solving an expression with multiple operations so that everyone arrives at the same correct answer.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Here is the breakdown of what each letter stands for:</a:t>
          </a:r>
        </a:p>
        <a:p>
          <a:endParaRPr lang="en-U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P – Parentheses</a:t>
          </a:r>
          <a:r>
            <a:rPr lang="en-US" sz="1100">
              <a:solidFill>
                <a:schemeClr val="dk1"/>
              </a:solidFill>
              <a:effectLst/>
              <a:latin typeface="+mn-lt"/>
              <a:ea typeface="+mn-ea"/>
              <a:cs typeface="+mn-cs"/>
            </a:rPr>
            <a:t>: Perform all operations inside parentheses ( ), brackets [ ], or braces { } first.</a:t>
          </a:r>
        </a:p>
        <a:p>
          <a:pPr lvl="0"/>
          <a:r>
            <a:rPr lang="en-US" sz="1100" b="1">
              <a:solidFill>
                <a:schemeClr val="dk1"/>
              </a:solidFill>
              <a:effectLst/>
              <a:latin typeface="+mn-lt"/>
              <a:ea typeface="+mn-ea"/>
              <a:cs typeface="+mn-cs"/>
            </a:rPr>
            <a:t>E – Exponents</a:t>
          </a:r>
          <a:r>
            <a:rPr lang="en-US" sz="1100">
              <a:solidFill>
                <a:schemeClr val="dk1"/>
              </a:solidFill>
              <a:effectLst/>
              <a:latin typeface="+mn-lt"/>
              <a:ea typeface="+mn-ea"/>
              <a:cs typeface="+mn-cs"/>
            </a:rPr>
            <a:t>: Solve anything with a power (square roots also fall into this category), such as 5^2 or 2^3.</a:t>
          </a:r>
        </a:p>
        <a:p>
          <a:pPr lvl="0"/>
          <a:r>
            <a:rPr lang="en-US" sz="1100" b="1">
              <a:solidFill>
                <a:schemeClr val="dk1"/>
              </a:solidFill>
              <a:effectLst/>
              <a:latin typeface="+mn-lt"/>
              <a:ea typeface="+mn-ea"/>
              <a:cs typeface="+mn-cs"/>
            </a:rPr>
            <a:t>M &amp; D – Multiplication and Division</a:t>
          </a:r>
          <a:r>
            <a:rPr lang="en-US" sz="1100">
              <a:solidFill>
                <a:schemeClr val="dk1"/>
              </a:solidFill>
              <a:effectLst/>
              <a:latin typeface="+mn-lt"/>
              <a:ea typeface="+mn-ea"/>
              <a:cs typeface="+mn-cs"/>
            </a:rPr>
            <a:t>: These two are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r>
            <a:rPr lang="en-US" sz="1100" b="1">
              <a:solidFill>
                <a:schemeClr val="dk1"/>
              </a:solidFill>
              <a:effectLst/>
              <a:latin typeface="+mn-lt"/>
              <a:ea typeface="+mn-ea"/>
              <a:cs typeface="+mn-cs"/>
            </a:rPr>
            <a:t>A &amp; S – Addition and Subtraction</a:t>
          </a:r>
          <a:r>
            <a:rPr lang="en-US" sz="1100">
              <a:solidFill>
                <a:schemeClr val="dk1"/>
              </a:solidFill>
              <a:effectLst/>
              <a:latin typeface="+mn-lt"/>
              <a:ea typeface="+mn-ea"/>
              <a:cs typeface="+mn-cs"/>
            </a:rPr>
            <a:t>: These are also </a:t>
          </a:r>
          <a:r>
            <a:rPr lang="en-US" sz="1100" b="1">
              <a:solidFill>
                <a:schemeClr val="dk1"/>
              </a:solidFill>
              <a:effectLst/>
              <a:latin typeface="+mn-lt"/>
              <a:ea typeface="+mn-ea"/>
              <a:cs typeface="+mn-cs"/>
            </a:rPr>
            <a:t>equal in rank</a:t>
          </a:r>
          <a:r>
            <a:rPr lang="en-US" sz="1100">
              <a:solidFill>
                <a:schemeClr val="dk1"/>
              </a:solidFill>
              <a:effectLst/>
              <a:latin typeface="+mn-lt"/>
              <a:ea typeface="+mn-ea"/>
              <a:cs typeface="+mn-cs"/>
            </a:rPr>
            <a:t>. You solve them as they appear from </a:t>
          </a:r>
          <a:r>
            <a:rPr lang="en-US" sz="1100" b="1">
              <a:solidFill>
                <a:schemeClr val="dk1"/>
              </a:solidFill>
              <a:effectLst/>
              <a:latin typeface="+mn-lt"/>
              <a:ea typeface="+mn-ea"/>
              <a:cs typeface="+mn-cs"/>
            </a:rPr>
            <a:t>left to right</a:t>
          </a:r>
          <a:r>
            <a:rPr lang="en-US" sz="1100">
              <a:solidFill>
                <a:schemeClr val="dk1"/>
              </a:solidFill>
              <a:effectLst/>
              <a:latin typeface="+mn-lt"/>
              <a:ea typeface="+mn-ea"/>
              <a:cs typeface="+mn-cs"/>
            </a:rPr>
            <a:t>.</a:t>
          </a:r>
        </a:p>
        <a:p>
          <a:pPr lvl="0"/>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The "Equal Rank" Rule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One of the most common mistakes is thinking Multiplication </a:t>
          </a:r>
          <a:r>
            <a:rPr lang="en-US" sz="1100" i="1">
              <a:solidFill>
                <a:schemeClr val="dk1"/>
              </a:solidFill>
              <a:effectLst/>
              <a:latin typeface="+mn-lt"/>
              <a:ea typeface="+mn-ea"/>
              <a:cs typeface="+mn-cs"/>
            </a:rPr>
            <a:t>always</a:t>
          </a:r>
          <a:r>
            <a:rPr lang="en-US" sz="1100">
              <a:solidFill>
                <a:schemeClr val="dk1"/>
              </a:solidFill>
              <a:effectLst/>
              <a:latin typeface="+mn-lt"/>
              <a:ea typeface="+mn-ea"/>
              <a:cs typeface="+mn-cs"/>
            </a:rPr>
            <a:t> comes before Division. In reality, they are a team. If an expression has both, you simply work through them in the order they are written, starting from the left. The same applies to Addition and Subtraction.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Example Walkthrough</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If you have the expression: 6 + 4 X (5 - 3)^2</a:t>
          </a:r>
        </a:p>
        <a:p>
          <a:pPr lvl="0"/>
          <a:r>
            <a:rPr lang="en-US" sz="1100" b="1">
              <a:solidFill>
                <a:schemeClr val="dk1"/>
              </a:solidFill>
              <a:effectLst/>
              <a:latin typeface="+mn-lt"/>
              <a:ea typeface="+mn-ea"/>
              <a:cs typeface="+mn-cs"/>
            </a:rPr>
            <a:t>P (Parentheses):</a:t>
          </a:r>
          <a:r>
            <a:rPr lang="en-US" sz="1100">
              <a:solidFill>
                <a:schemeClr val="dk1"/>
              </a:solidFill>
              <a:effectLst/>
              <a:latin typeface="+mn-lt"/>
              <a:ea typeface="+mn-ea"/>
              <a:cs typeface="+mn-cs"/>
            </a:rPr>
            <a:t> Solve $5 - 3) first. Now you have 6 + 4 X 2^2.</a:t>
          </a:r>
        </a:p>
        <a:p>
          <a:pPr lvl="0"/>
          <a:r>
            <a:rPr lang="en-US" sz="1100" b="1">
              <a:solidFill>
                <a:schemeClr val="dk1"/>
              </a:solidFill>
              <a:effectLst/>
              <a:latin typeface="+mn-lt"/>
              <a:ea typeface="+mn-ea"/>
              <a:cs typeface="+mn-cs"/>
            </a:rPr>
            <a:t>E (Exponents):</a:t>
          </a:r>
          <a:r>
            <a:rPr lang="en-US" sz="1100">
              <a:solidFill>
                <a:schemeClr val="dk1"/>
              </a:solidFill>
              <a:effectLst/>
              <a:latin typeface="+mn-lt"/>
              <a:ea typeface="+mn-ea"/>
              <a:cs typeface="+mn-cs"/>
            </a:rPr>
            <a:t> Solve 2^2. Now you have 6 + 4 X 4.</a:t>
          </a:r>
        </a:p>
        <a:p>
          <a:pPr lvl="0"/>
          <a:r>
            <a:rPr lang="en-US" sz="1100" b="1">
              <a:solidFill>
                <a:schemeClr val="dk1"/>
              </a:solidFill>
              <a:effectLst/>
              <a:latin typeface="+mn-lt"/>
              <a:ea typeface="+mn-ea"/>
              <a:cs typeface="+mn-cs"/>
            </a:rPr>
            <a:t>M/D (Multiplication):</a:t>
          </a:r>
          <a:r>
            <a:rPr lang="en-US" sz="1100">
              <a:solidFill>
                <a:schemeClr val="dk1"/>
              </a:solidFill>
              <a:effectLst/>
              <a:latin typeface="+mn-lt"/>
              <a:ea typeface="+mn-ea"/>
              <a:cs typeface="+mn-cs"/>
            </a:rPr>
            <a:t> Solve 4 X 4. Now you have 6 + 16.</a:t>
          </a:r>
        </a:p>
        <a:p>
          <a:pPr lvl="0"/>
          <a:r>
            <a:rPr lang="en-US" sz="1100" b="1">
              <a:solidFill>
                <a:schemeClr val="dk1"/>
              </a:solidFill>
              <a:effectLst/>
              <a:latin typeface="+mn-lt"/>
              <a:ea typeface="+mn-ea"/>
              <a:cs typeface="+mn-cs"/>
            </a:rPr>
            <a:t>A/S (Addition):</a:t>
          </a:r>
          <a:r>
            <a:rPr lang="en-US" sz="1100">
              <a:solidFill>
                <a:schemeClr val="dk1"/>
              </a:solidFill>
              <a:effectLst/>
              <a:latin typeface="+mn-lt"/>
              <a:ea typeface="+mn-ea"/>
              <a:cs typeface="+mn-cs"/>
            </a:rPr>
            <a:t> Solve 6 + 16. The final answer is </a:t>
          </a:r>
          <a:r>
            <a:rPr lang="en-US" sz="1100" b="1">
              <a:solidFill>
                <a:schemeClr val="dk1"/>
              </a:solidFill>
              <a:effectLst/>
              <a:latin typeface="+mn-lt"/>
              <a:ea typeface="+mn-ea"/>
              <a:cs typeface="+mn-cs"/>
            </a:rPr>
            <a:t>22</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Mnemonic Device</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A popular way to remember the acronym is the phrase:</a:t>
          </a:r>
        </a:p>
        <a:p>
          <a:r>
            <a:rPr lang="en-US" sz="1100" b="1">
              <a:solidFill>
                <a:schemeClr val="dk1"/>
              </a:solidFill>
              <a:effectLst/>
              <a:latin typeface="+mn-lt"/>
              <a:ea typeface="+mn-ea"/>
              <a:cs typeface="+mn-cs"/>
            </a:rPr>
            <a:t>"Please Excuse My Dear Aunt Sally."</a:t>
          </a: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507365</xdr:colOff>
      <xdr:row>0</xdr:row>
      <xdr:rowOff>48260</xdr:rowOff>
    </xdr:from>
    <xdr:to>
      <xdr:col>21</xdr:col>
      <xdr:colOff>193675</xdr:colOff>
      <xdr:row>30</xdr:row>
      <xdr:rowOff>161925</xdr:rowOff>
    </xdr:to>
    <xdr:sp macro="" textlink="">
      <xdr:nvSpPr>
        <xdr:cNvPr id="2" name="TextBox 1">
          <a:extLst>
            <a:ext uri="{FF2B5EF4-FFF2-40B4-BE49-F238E27FC236}">
              <a16:creationId xmlns:a16="http://schemas.microsoft.com/office/drawing/2014/main" id="{81B0C5D8-ABB3-AD88-12D4-145E3028CFDA}"/>
            </a:ext>
          </a:extLst>
        </xdr:cNvPr>
        <xdr:cNvSpPr txBox="1"/>
      </xdr:nvSpPr>
      <xdr:spPr>
        <a:xfrm>
          <a:off x="12042140" y="48260"/>
          <a:ext cx="3448685" cy="62287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Understanding the Three References</a:t>
          </a:r>
        </a:p>
        <a:p>
          <a:r>
            <a:rPr lang="en-US" sz="1100">
              <a:solidFill>
                <a:schemeClr val="dk1"/>
              </a:solidFill>
              <a:effectLst/>
              <a:latin typeface="+mn-lt"/>
              <a:ea typeface="+mn-ea"/>
              <a:cs typeface="+mn-cs"/>
            </a:rPr>
            <a:t>To help your students visualize the difference, you can explain that the dollar sign ($) acts like a </a:t>
          </a:r>
          <a:r>
            <a:rPr lang="en-US" sz="1100" b="1">
              <a:solidFill>
                <a:schemeClr val="dk1"/>
              </a:solidFill>
              <a:effectLst/>
              <a:latin typeface="+mn-lt"/>
              <a:ea typeface="+mn-ea"/>
              <a:cs typeface="+mn-cs"/>
            </a:rPr>
            <a:t>"lock"</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"anchor."</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1. Relative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No anchors. Excel remembers the "position" relative to the current cell.</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If you move the formula one row down, the reference moves one row down.</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Calculating totals across a list (Price x Quantity).</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2. Absolute References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Two anchors. Both the Column and the Row are frozen.</a:t>
          </a:r>
        </a:p>
        <a:p>
          <a:r>
            <a:rPr lang="en-US" sz="1100" b="1">
              <a:solidFill>
                <a:schemeClr val="dk1"/>
              </a:solidFill>
              <a:effectLst/>
              <a:latin typeface="+mn-lt"/>
              <a:ea typeface="+mn-ea"/>
              <a:cs typeface="+mn-cs"/>
            </a:rPr>
            <a:t>Behavior:</a:t>
          </a:r>
          <a:r>
            <a:rPr lang="en-US" sz="1100">
              <a:solidFill>
                <a:schemeClr val="dk1"/>
              </a:solidFill>
              <a:effectLst/>
              <a:latin typeface="+mn-lt"/>
              <a:ea typeface="+mn-ea"/>
              <a:cs typeface="+mn-cs"/>
            </a:rPr>
            <a:t> No matter where you copy or drag the formula, it will always point to that exact cell.</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Referring to a single constant, like a </a:t>
          </a:r>
          <a:r>
            <a:rPr lang="en-US" sz="1100" b="1">
              <a:solidFill>
                <a:schemeClr val="dk1"/>
              </a:solidFill>
              <a:effectLst/>
              <a:latin typeface="+mn-lt"/>
              <a:ea typeface="+mn-ea"/>
              <a:cs typeface="+mn-cs"/>
            </a:rPr>
            <a:t>Sales Tax Rate</a:t>
          </a:r>
          <a:r>
            <a:rPr lang="en-US" sz="1100">
              <a:solidFill>
                <a:schemeClr val="dk1"/>
              </a:solidFill>
              <a:effectLst/>
              <a:latin typeface="+mn-lt"/>
              <a:ea typeface="+mn-ea"/>
              <a:cs typeface="+mn-cs"/>
            </a:rPr>
            <a:t> or a </a:t>
          </a:r>
          <a:r>
            <a:rPr lang="en-US" sz="1100" b="1">
              <a:solidFill>
                <a:schemeClr val="dk1"/>
              </a:solidFill>
              <a:effectLst/>
              <a:latin typeface="+mn-lt"/>
              <a:ea typeface="+mn-ea"/>
              <a:cs typeface="+mn-cs"/>
            </a:rPr>
            <a:t>Discount Percentage</a:t>
          </a:r>
          <a:r>
            <a:rPr lang="en-US" sz="1100">
              <a:solidFill>
                <a:schemeClr val="dk1"/>
              </a:solidFill>
              <a:effectLst/>
              <a:latin typeface="+mn-lt"/>
              <a:ea typeface="+mn-ea"/>
              <a:cs typeface="+mn-cs"/>
            </a:rPr>
            <a:t> stored in one specific cell.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3. Mixed References ($A1 or A$1)</a:t>
          </a:r>
        </a:p>
        <a:p>
          <a:r>
            <a:rPr lang="en-US" sz="1100" b="1">
              <a:solidFill>
                <a:schemeClr val="dk1"/>
              </a:solidFill>
              <a:effectLst/>
              <a:latin typeface="+mn-lt"/>
              <a:ea typeface="+mn-ea"/>
              <a:cs typeface="+mn-cs"/>
            </a:rPr>
            <a:t>The Concept:</a:t>
          </a:r>
          <a:r>
            <a:rPr lang="en-US" sz="1100">
              <a:solidFill>
                <a:schemeClr val="dk1"/>
              </a:solidFill>
              <a:effectLst/>
              <a:latin typeface="+mn-lt"/>
              <a:ea typeface="+mn-ea"/>
              <a:cs typeface="+mn-cs"/>
            </a:rPr>
            <a:t> One anchor. Only the Column or only the Row is frozen.</a:t>
          </a:r>
        </a:p>
        <a:p>
          <a:r>
            <a:rPr lang="en-US" sz="1100" b="1">
              <a:solidFill>
                <a:schemeClr val="dk1"/>
              </a:solidFill>
              <a:effectLst/>
              <a:latin typeface="+mn-lt"/>
              <a:ea typeface="+mn-ea"/>
              <a:cs typeface="+mn-cs"/>
            </a:rPr>
            <a:t>Behavior:</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$A1: The Column stays at </a:t>
          </a:r>
          <a:r>
            <a:rPr lang="en-US" sz="1100" b="1">
              <a:solidFill>
                <a:schemeClr val="dk1"/>
              </a:solidFill>
              <a:effectLst/>
              <a:latin typeface="+mn-lt"/>
              <a:ea typeface="+mn-ea"/>
              <a:cs typeface="+mn-cs"/>
            </a:rPr>
            <a:t>A</a:t>
          </a:r>
          <a:r>
            <a:rPr lang="en-US" sz="1100">
              <a:solidFill>
                <a:schemeClr val="dk1"/>
              </a:solidFill>
              <a:effectLst/>
              <a:latin typeface="+mn-lt"/>
              <a:ea typeface="+mn-ea"/>
              <a:cs typeface="+mn-cs"/>
            </a:rPr>
            <a:t>, but the Row can change.</a:t>
          </a:r>
        </a:p>
        <a:p>
          <a:pPr lvl="1"/>
          <a:r>
            <a:rPr lang="en-US" sz="1100">
              <a:solidFill>
                <a:schemeClr val="dk1"/>
              </a:solidFill>
              <a:effectLst/>
              <a:latin typeface="+mn-lt"/>
              <a:ea typeface="+mn-ea"/>
              <a:cs typeface="+mn-cs"/>
            </a:rPr>
            <a:t>A$1: The Row stays at </a:t>
          </a:r>
          <a:r>
            <a:rPr lang="en-US" sz="1100" b="1">
              <a:solidFill>
                <a:schemeClr val="dk1"/>
              </a:solidFill>
              <a:effectLst/>
              <a:latin typeface="+mn-lt"/>
              <a:ea typeface="+mn-ea"/>
              <a:cs typeface="+mn-cs"/>
            </a:rPr>
            <a:t>1</a:t>
          </a:r>
          <a:r>
            <a:rPr lang="en-US" sz="1100">
              <a:solidFill>
                <a:schemeClr val="dk1"/>
              </a:solidFill>
              <a:effectLst/>
              <a:latin typeface="+mn-lt"/>
              <a:ea typeface="+mn-ea"/>
              <a:cs typeface="+mn-cs"/>
            </a:rPr>
            <a:t>, but the Column can change.</a:t>
          </a:r>
        </a:p>
        <a:p>
          <a:r>
            <a:rPr lang="en-US" sz="1100" b="1">
              <a:solidFill>
                <a:schemeClr val="dk1"/>
              </a:solidFill>
              <a:effectLst/>
              <a:latin typeface="+mn-lt"/>
              <a:ea typeface="+mn-ea"/>
              <a:cs typeface="+mn-cs"/>
            </a:rPr>
            <a:t>Use Case:</a:t>
          </a:r>
          <a:r>
            <a:rPr lang="en-US" sz="1100">
              <a:solidFill>
                <a:schemeClr val="dk1"/>
              </a:solidFill>
              <a:effectLst/>
              <a:latin typeface="+mn-lt"/>
              <a:ea typeface="+mn-ea"/>
              <a:cs typeface="+mn-cs"/>
            </a:rPr>
            <a:t> Creating a multiplication table or projection models where you need to lock a header row but allow the column to vary (or vice versa).</a:t>
          </a:r>
        </a:p>
        <a:p>
          <a:endParaRPr lang="en-US" sz="1100">
            <a:solidFill>
              <a:schemeClr val="dk1"/>
            </a:solidFill>
            <a:effectLst/>
            <a:latin typeface="+mn-lt"/>
            <a:ea typeface="+mn-ea"/>
            <a:cs typeface="+mn-cs"/>
          </a:endParaRPr>
        </a:p>
        <a:p>
          <a:r>
            <a:rPr lang="en-US" b="1"/>
            <a:t>Pro-Tip </a:t>
          </a:r>
        </a:p>
        <a:p>
          <a:r>
            <a:rPr lang="en-US"/>
            <a:t>Use the </a:t>
          </a:r>
          <a:r>
            <a:rPr lang="en-US" b="1"/>
            <a:t>F4 Shortcut</a:t>
          </a:r>
          <a:r>
            <a:rPr lang="en-US"/>
            <a:t>: While editing a formula, they can click on a cell reference and press </a:t>
          </a:r>
          <a:r>
            <a:rPr lang="en-US" b="1"/>
            <a:t>F4</a:t>
          </a:r>
          <a:r>
            <a:rPr lang="en-US"/>
            <a:t> on your keyboard. It will cycle through the options:</a:t>
          </a:r>
        </a:p>
        <a:p>
          <a:r>
            <a:rPr lang="en-US" sz="1100">
              <a:solidFill>
                <a:schemeClr val="dk1"/>
              </a:solidFill>
              <a:latin typeface="+mn-lt"/>
              <a:ea typeface="+mn-ea"/>
              <a:cs typeface="+mn-cs"/>
            </a:rPr>
            <a:t>$A$1</a:t>
          </a:r>
          <a:r>
            <a:rPr lang="en-US"/>
            <a:t> (Absolute)</a:t>
          </a:r>
        </a:p>
        <a:p>
          <a:r>
            <a:rPr lang="en-US" sz="1100">
              <a:solidFill>
                <a:schemeClr val="dk1"/>
              </a:solidFill>
              <a:latin typeface="+mn-lt"/>
              <a:ea typeface="+mn-ea"/>
              <a:cs typeface="+mn-cs"/>
            </a:rPr>
            <a:t>A$1</a:t>
          </a:r>
          <a:r>
            <a:rPr lang="en-US"/>
            <a:t> (Mixed - Row locked)</a:t>
          </a:r>
        </a:p>
        <a:p>
          <a:r>
            <a:rPr lang="en-US" sz="1100">
              <a:solidFill>
                <a:schemeClr val="dk1"/>
              </a:solidFill>
              <a:latin typeface="+mn-lt"/>
              <a:ea typeface="+mn-ea"/>
              <a:cs typeface="+mn-cs"/>
            </a:rPr>
            <a:t>$A1</a:t>
          </a:r>
          <a:r>
            <a:rPr lang="en-US"/>
            <a:t> (Mixed - Col locked)</a:t>
          </a:r>
        </a:p>
        <a:p>
          <a:r>
            <a:rPr lang="en-US" sz="1100">
              <a:solidFill>
                <a:schemeClr val="dk1"/>
              </a:solidFill>
              <a:latin typeface="+mn-lt"/>
              <a:ea typeface="+mn-ea"/>
              <a:cs typeface="+mn-cs"/>
            </a:rPr>
            <a:t>A1</a:t>
          </a:r>
          <a:r>
            <a:rPr lang="en-US"/>
            <a:t> (Relative)</a:t>
          </a:r>
        </a:p>
        <a:p>
          <a:r>
            <a:rPr lang="en-US"/>
            <a:t>This saves you from manually typing dollar signs and prevents errors!</a:t>
          </a:r>
        </a:p>
        <a:p>
          <a:endParaRPr lang="en-US" sz="1100">
            <a:solidFill>
              <a:schemeClr val="dk1"/>
            </a:solidFill>
            <a:effectLst/>
            <a:latin typeface="+mn-lt"/>
            <a:ea typeface="+mn-ea"/>
            <a:cs typeface="+mn-cs"/>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600710</xdr:colOff>
      <xdr:row>12</xdr:row>
      <xdr:rowOff>25400</xdr:rowOff>
    </xdr:from>
    <xdr:to>
      <xdr:col>3</xdr:col>
      <xdr:colOff>2501900</xdr:colOff>
      <xdr:row>17</xdr:row>
      <xdr:rowOff>26670</xdr:rowOff>
    </xdr:to>
    <xdr:sp macro="" textlink="">
      <xdr:nvSpPr>
        <xdr:cNvPr id="2" name="TextBox 1">
          <a:extLst>
            <a:ext uri="{FF2B5EF4-FFF2-40B4-BE49-F238E27FC236}">
              <a16:creationId xmlns:a16="http://schemas.microsoft.com/office/drawing/2014/main" id="{29813247-9BCD-6903-B411-85FF0B2066D2}"/>
            </a:ext>
          </a:extLst>
        </xdr:cNvPr>
        <xdr:cNvSpPr txBox="1"/>
      </xdr:nvSpPr>
      <xdr:spPr>
        <a:xfrm>
          <a:off x="1210310" y="2279650"/>
          <a:ext cx="312039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Named Ranges:</a:t>
          </a:r>
          <a:r>
            <a:rPr lang="en-US"/>
            <a:t> Explains how to name a chunk of data (e.g., "Regional_Sales") to make formulas like </a:t>
          </a:r>
          <a:r>
            <a:rPr lang="en-US" sz="1100">
              <a:solidFill>
                <a:schemeClr val="dk1"/>
              </a:solidFill>
              <a:latin typeface="+mn-lt"/>
              <a:ea typeface="+mn-ea"/>
              <a:cs typeface="+mn-cs"/>
            </a:rPr>
            <a:t>=SUM(Regional_Sales)</a:t>
          </a:r>
          <a:r>
            <a:rPr lang="en-US"/>
            <a:t> much more readable—a best practice for clean data science documentation.</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1173480</xdr:colOff>
      <xdr:row>14</xdr:row>
      <xdr:rowOff>158750</xdr:rowOff>
    </xdr:to>
    <xdr:sp macro="" textlink="">
      <xdr:nvSpPr>
        <xdr:cNvPr id="2" name="TextBox 1">
          <a:extLst>
            <a:ext uri="{FF2B5EF4-FFF2-40B4-BE49-F238E27FC236}">
              <a16:creationId xmlns:a16="http://schemas.microsoft.com/office/drawing/2014/main" id="{A1F3FC87-69D4-4ABF-9F13-51618ACAAEAD}"/>
            </a:ext>
          </a:extLst>
        </xdr:cNvPr>
        <xdr:cNvSpPr txBox="1"/>
      </xdr:nvSpPr>
      <xdr:spPr>
        <a:xfrm>
          <a:off x="774700" y="2254250"/>
          <a:ext cx="312293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INDEX:</a:t>
          </a:r>
          <a:r>
            <a:rPr lang="en-US"/>
            <a:t> Demonstrates how to retrieve data based on its coordinate (row and column) within a range.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0</xdr:rowOff>
    </xdr:from>
    <xdr:to>
      <xdr:col>4</xdr:col>
      <xdr:colOff>1073150</xdr:colOff>
      <xdr:row>14</xdr:row>
      <xdr:rowOff>157480</xdr:rowOff>
    </xdr:to>
    <xdr:sp macro="" textlink="">
      <xdr:nvSpPr>
        <xdr:cNvPr id="2" name="TextBox 1">
          <a:extLst>
            <a:ext uri="{FF2B5EF4-FFF2-40B4-BE49-F238E27FC236}">
              <a16:creationId xmlns:a16="http://schemas.microsoft.com/office/drawing/2014/main" id="{737EBD98-6587-4865-BA06-DE2D49AC5587}"/>
            </a:ext>
          </a:extLst>
        </xdr:cNvPr>
        <xdr:cNvSpPr txBox="1"/>
      </xdr:nvSpPr>
      <xdr:spPr>
        <a:xfrm>
          <a:off x="609600" y="2254250"/>
          <a:ext cx="312420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ISBLANK:</a:t>
          </a:r>
          <a:r>
            <a:rPr lang="en-US"/>
            <a:t> A foundational tool for data cleaning and identifying missing values in a dataset.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1903730</xdr:colOff>
      <xdr:row>14</xdr:row>
      <xdr:rowOff>156210</xdr:rowOff>
    </xdr:to>
    <xdr:sp macro="" textlink="">
      <xdr:nvSpPr>
        <xdr:cNvPr id="2" name="TextBox 1">
          <a:extLst>
            <a:ext uri="{FF2B5EF4-FFF2-40B4-BE49-F238E27FC236}">
              <a16:creationId xmlns:a16="http://schemas.microsoft.com/office/drawing/2014/main" id="{901F3E7E-3283-4FE7-B0D1-5595DB4FF18D}"/>
            </a:ext>
          </a:extLst>
        </xdr:cNvPr>
        <xdr:cNvSpPr txBox="1"/>
      </xdr:nvSpPr>
      <xdr:spPr>
        <a:xfrm>
          <a:off x="1219200" y="2254250"/>
          <a:ext cx="3122930" cy="524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LEFT:</a:t>
          </a:r>
          <a:r>
            <a:rPr lang="en-US"/>
            <a:t> Useful for feature engineering, such as extracting codes or prefixes from long strings.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12</xdr:row>
      <xdr:rowOff>0</xdr:rowOff>
    </xdr:from>
    <xdr:to>
      <xdr:col>4</xdr:col>
      <xdr:colOff>2178050</xdr:colOff>
      <xdr:row>14</xdr:row>
      <xdr:rowOff>154940</xdr:rowOff>
    </xdr:to>
    <xdr:sp macro="" textlink="">
      <xdr:nvSpPr>
        <xdr:cNvPr id="2" name="TextBox 1">
          <a:extLst>
            <a:ext uri="{FF2B5EF4-FFF2-40B4-BE49-F238E27FC236}">
              <a16:creationId xmlns:a16="http://schemas.microsoft.com/office/drawing/2014/main" id="{6954DE47-2757-42A9-B0B6-DA17FD4550FD}"/>
            </a:ext>
          </a:extLst>
        </xdr:cNvPr>
        <xdr:cNvSpPr txBox="1"/>
      </xdr:nvSpPr>
      <xdr:spPr>
        <a:xfrm>
          <a:off x="1219200" y="2254250"/>
          <a:ext cx="3397250" cy="523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CONCATENATE (&amp;):</a:t>
          </a:r>
          <a:r>
            <a:rPr lang="en-US"/>
            <a:t> Shows how to merge multiple data points (like First and Last names) into a single string.</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12</xdr:row>
      <xdr:rowOff>88900</xdr:rowOff>
    </xdr:from>
    <xdr:to>
      <xdr:col>4</xdr:col>
      <xdr:colOff>3724910</xdr:colOff>
      <xdr:row>23</xdr:row>
      <xdr:rowOff>38100</xdr:rowOff>
    </xdr:to>
    <xdr:sp macro="" textlink="">
      <xdr:nvSpPr>
        <xdr:cNvPr id="2" name="TextBox 1">
          <a:extLst>
            <a:ext uri="{FF2B5EF4-FFF2-40B4-BE49-F238E27FC236}">
              <a16:creationId xmlns:a16="http://schemas.microsoft.com/office/drawing/2014/main" id="{04A865E2-3126-489E-A971-C63F5D57B806}"/>
            </a:ext>
          </a:extLst>
        </xdr:cNvPr>
        <xdr:cNvSpPr txBox="1"/>
      </xdr:nvSpPr>
      <xdr:spPr>
        <a:xfrm>
          <a:off x="1219200" y="2298700"/>
          <a:ext cx="494411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DSUM &amp; DCOUNT:</a:t>
          </a:r>
          <a:r>
            <a:rPr lang="en-US"/>
            <a:t> Introduces "Database Functions," which are incredibly efficient for summarizing data based on a criteria table (headers must match exactly!).</a:t>
          </a:r>
        </a:p>
        <a:p>
          <a:endParaRPr lang="en-US"/>
        </a:p>
        <a:p>
          <a:r>
            <a:rPr lang="en-US"/>
            <a:t>While many people use </a:t>
          </a:r>
          <a:r>
            <a:rPr lang="en-US" sz="1100">
              <a:solidFill>
                <a:schemeClr val="dk1"/>
              </a:solidFill>
              <a:latin typeface="+mn-lt"/>
              <a:ea typeface="+mn-ea"/>
              <a:cs typeface="+mn-cs"/>
            </a:rPr>
            <a:t>SUMIFS</a:t>
          </a:r>
          <a:r>
            <a:rPr lang="en-US"/>
            <a:t>, the </a:t>
          </a:r>
          <a:r>
            <a:rPr lang="en-US" sz="1100">
              <a:solidFill>
                <a:schemeClr val="dk1"/>
              </a:solidFill>
              <a:latin typeface="+mn-lt"/>
              <a:ea typeface="+mn-ea"/>
              <a:cs typeface="+mn-cs"/>
            </a:rPr>
            <a:t>D-Functions</a:t>
          </a:r>
          <a:r>
            <a:rPr lang="en-US"/>
            <a:t> are often preferred in data science workflows because the criteria are stored in cells rather than hard-coded into the formula, making them easier to audit and update.</a:t>
          </a:r>
        </a:p>
        <a:p>
          <a:endParaRPr lang="en-US"/>
        </a:p>
        <a:p>
          <a:r>
            <a:rPr lang="en-US"/>
            <a:t>Remind the students that </a:t>
          </a:r>
          <a:r>
            <a:rPr lang="en-US" sz="1100">
              <a:solidFill>
                <a:schemeClr val="dk1"/>
              </a:solidFill>
              <a:latin typeface="+mn-lt"/>
              <a:ea typeface="+mn-ea"/>
              <a:cs typeface="+mn-cs"/>
            </a:rPr>
            <a:t>DSUM</a:t>
          </a:r>
          <a:r>
            <a:rPr lang="en-US"/>
            <a:t> is the "Excel grandparent" of </a:t>
          </a:r>
          <a:r>
            <a:rPr lang="en-US" sz="1100">
              <a:solidFill>
                <a:schemeClr val="dk1"/>
              </a:solidFill>
              <a:latin typeface="+mn-lt"/>
              <a:ea typeface="+mn-ea"/>
              <a:cs typeface="+mn-cs"/>
            </a:rPr>
            <a:t>SUMIFS</a:t>
          </a:r>
          <a:r>
            <a:rPr lang="en-US"/>
            <a:t>. While </a:t>
          </a:r>
          <a:r>
            <a:rPr lang="en-US" sz="1100">
              <a:solidFill>
                <a:schemeClr val="dk1"/>
              </a:solidFill>
              <a:latin typeface="+mn-lt"/>
              <a:ea typeface="+mn-ea"/>
              <a:cs typeface="+mn-cs"/>
            </a:rPr>
            <a:t>SUMIFS</a:t>
          </a:r>
          <a:r>
            <a:rPr lang="en-US"/>
            <a:t> is more common today, </a:t>
          </a:r>
          <a:r>
            <a:rPr lang="en-US" sz="1100">
              <a:solidFill>
                <a:schemeClr val="dk1"/>
              </a:solidFill>
              <a:latin typeface="+mn-lt"/>
              <a:ea typeface="+mn-ea"/>
              <a:cs typeface="+mn-cs"/>
            </a:rPr>
            <a:t>DSUM</a:t>
          </a:r>
          <a:r>
            <a:rPr lang="en-US"/>
            <a:t> is actually closer to how </a:t>
          </a:r>
          <a:r>
            <a:rPr lang="en-US" b="1"/>
            <a:t>SQL</a:t>
          </a:r>
          <a:r>
            <a:rPr lang="en-US"/>
            <a:t> works because it relies on a structured criteria table. </a:t>
          </a:r>
          <a:endParaRPr lang="en-US" sz="1100"/>
        </a:p>
      </xdr:txBody>
    </xdr:sp>
    <xdr:clientData/>
  </xdr:twoCellAnchor>
  <xdr:twoCellAnchor>
    <xdr:from>
      <xdr:col>5</xdr:col>
      <xdr:colOff>459740</xdr:colOff>
      <xdr:row>0</xdr:row>
      <xdr:rowOff>78740</xdr:rowOff>
    </xdr:from>
    <xdr:to>
      <xdr:col>9</xdr:col>
      <xdr:colOff>491490</xdr:colOff>
      <xdr:row>59</xdr:row>
      <xdr:rowOff>95250</xdr:rowOff>
    </xdr:to>
    <xdr:sp macro="" textlink="">
      <xdr:nvSpPr>
        <xdr:cNvPr id="3" name="TextBox 2">
          <a:extLst>
            <a:ext uri="{FF2B5EF4-FFF2-40B4-BE49-F238E27FC236}">
              <a16:creationId xmlns:a16="http://schemas.microsoft.com/office/drawing/2014/main" id="{49E6A612-229E-4054-74AE-AB196DF311F0}"/>
            </a:ext>
          </a:extLst>
        </xdr:cNvPr>
        <xdr:cNvSpPr txBox="1"/>
      </xdr:nvSpPr>
      <xdr:spPr>
        <a:xfrm>
          <a:off x="7012940" y="78740"/>
          <a:ext cx="3917950" cy="1088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Objective</a:t>
          </a:r>
        </a:p>
        <a:p>
          <a:r>
            <a:rPr lang="en-US" sz="1100">
              <a:solidFill>
                <a:schemeClr val="dk1"/>
              </a:solidFill>
              <a:effectLst/>
              <a:latin typeface="+mn-lt"/>
              <a:ea typeface="+mn-ea"/>
              <a:cs typeface="+mn-cs"/>
            </a:rPr>
            <a:t>Calculate the </a:t>
          </a:r>
          <a:r>
            <a:rPr lang="en-US" sz="1100" b="1">
              <a:solidFill>
                <a:schemeClr val="dk1"/>
              </a:solidFill>
              <a:effectLst/>
              <a:latin typeface="+mn-lt"/>
              <a:ea typeface="+mn-ea"/>
              <a:cs typeface="+mn-cs"/>
            </a:rPr>
            <a:t>Total Sales</a:t>
          </a:r>
          <a:r>
            <a:rPr lang="en-US" sz="1100">
              <a:solidFill>
                <a:schemeClr val="dk1"/>
              </a:solidFill>
              <a:effectLst/>
              <a:latin typeface="+mn-lt"/>
              <a:ea typeface="+mn-ea"/>
              <a:cs typeface="+mn-cs"/>
            </a:rPr>
            <a:t> for the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category using the DSUM function and a criteria range.</a:t>
          </a:r>
        </a:p>
        <a:p>
          <a:endParaRPr lang="en-US"/>
        </a:p>
        <a:p>
          <a:r>
            <a:rPr lang="en-US" sz="1100" b="1">
              <a:solidFill>
                <a:schemeClr val="dk1"/>
              </a:solidFill>
              <a:effectLst/>
              <a:latin typeface="+mn-lt"/>
              <a:ea typeface="+mn-ea"/>
              <a:cs typeface="+mn-cs"/>
            </a:rPr>
            <a:t>Step-by-Step Instructions</a:t>
          </a:r>
        </a:p>
        <a:p>
          <a:r>
            <a:rPr lang="en-US" sz="1100" b="1">
              <a:solidFill>
                <a:schemeClr val="dk1"/>
              </a:solidFill>
              <a:effectLst/>
              <a:latin typeface="+mn-lt"/>
              <a:ea typeface="+mn-ea"/>
              <a:cs typeface="+mn-cs"/>
            </a:rPr>
            <a:t>1. Understand the Arguments</a:t>
          </a:r>
        </a:p>
        <a:p>
          <a:r>
            <a:rPr lang="en-US" sz="1100">
              <a:solidFill>
                <a:schemeClr val="dk1"/>
              </a:solidFill>
              <a:effectLst/>
              <a:latin typeface="+mn-lt"/>
              <a:ea typeface="+mn-ea"/>
              <a:cs typeface="+mn-cs"/>
            </a:rPr>
            <a:t>The formula is broken down into three parts:</a:t>
          </a:r>
        </a:p>
        <a:p>
          <a:r>
            <a:rPr lang="en-US" sz="1100" b="1">
              <a:solidFill>
                <a:schemeClr val="dk1"/>
              </a:solidFill>
              <a:effectLst/>
              <a:latin typeface="+mn-lt"/>
              <a:ea typeface="+mn-ea"/>
              <a:cs typeface="+mn-cs"/>
            </a:rPr>
            <a:t>Database (A1:B5)</a:t>
          </a:r>
          <a:r>
            <a:rPr lang="en-US" sz="1100">
              <a:solidFill>
                <a:schemeClr val="dk1"/>
              </a:solidFill>
              <a:effectLst/>
              <a:latin typeface="+mn-lt"/>
              <a:ea typeface="+mn-ea"/>
              <a:cs typeface="+mn-cs"/>
            </a:rPr>
            <a:t>: The range containing your data, including the headers.</a:t>
          </a:r>
        </a:p>
        <a:p>
          <a:r>
            <a:rPr lang="en-US" sz="1100" b="1">
              <a:solidFill>
                <a:schemeClr val="dk1"/>
              </a:solidFill>
              <a:effectLst/>
              <a:latin typeface="+mn-lt"/>
              <a:ea typeface="+mn-ea"/>
              <a:cs typeface="+mn-cs"/>
            </a:rPr>
            <a:t>Field ("Sales")</a:t>
          </a:r>
          <a:r>
            <a:rPr lang="en-US" sz="1100">
              <a:solidFill>
                <a:schemeClr val="dk1"/>
              </a:solidFill>
              <a:effectLst/>
              <a:latin typeface="+mn-lt"/>
              <a:ea typeface="+mn-ea"/>
              <a:cs typeface="+mn-cs"/>
            </a:rPr>
            <a:t>: The name of the column you want to sum (it must be in quotes).</a:t>
          </a:r>
        </a:p>
        <a:p>
          <a:r>
            <a:rPr lang="en-US" sz="1100" b="1">
              <a:solidFill>
                <a:schemeClr val="dk1"/>
              </a:solidFill>
              <a:effectLst/>
              <a:latin typeface="+mn-lt"/>
              <a:ea typeface="+mn-ea"/>
              <a:cs typeface="+mn-cs"/>
            </a:rPr>
            <a:t>Criteria (D1:D2)</a:t>
          </a:r>
          <a:r>
            <a:rPr lang="en-US" sz="1100">
              <a:solidFill>
                <a:schemeClr val="dk1"/>
              </a:solidFill>
              <a:effectLst/>
              <a:latin typeface="+mn-lt"/>
              <a:ea typeface="+mn-ea"/>
              <a:cs typeface="+mn-cs"/>
            </a:rPr>
            <a:t>: The range that defines your filter. It must include the header (Category) and the value you are looking for (Fruit).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Setup the Criteria Range</a:t>
          </a:r>
        </a:p>
        <a:p>
          <a:r>
            <a:rPr lang="en-US" sz="1100">
              <a:solidFill>
                <a:schemeClr val="dk1"/>
              </a:solidFill>
              <a:effectLst/>
              <a:latin typeface="+mn-lt"/>
              <a:ea typeface="+mn-ea"/>
              <a:cs typeface="+mn-cs"/>
            </a:rPr>
            <a:t>Look at cells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and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D1</a:t>
          </a:r>
          <a:r>
            <a:rPr lang="en-US" sz="1100">
              <a:solidFill>
                <a:schemeClr val="dk1"/>
              </a:solidFill>
              <a:effectLst/>
              <a:latin typeface="+mn-lt"/>
              <a:ea typeface="+mn-ea"/>
              <a:cs typeface="+mn-cs"/>
            </a:rPr>
            <a:t> matches the header of the column you want to filter (</a:t>
          </a:r>
          <a:r>
            <a:rPr lang="en-US" sz="1100" b="1">
              <a:solidFill>
                <a:schemeClr val="dk1"/>
              </a:solidFill>
              <a:effectLst/>
              <a:latin typeface="+mn-lt"/>
              <a:ea typeface="+mn-ea"/>
              <a:cs typeface="+mn-cs"/>
            </a:rPr>
            <a:t>Category</a:t>
          </a:r>
          <a:r>
            <a:rPr lang="en-US" sz="1100">
              <a:solidFill>
                <a:schemeClr val="dk1"/>
              </a:solidFill>
              <a:effectLst/>
              <a:latin typeface="+mn-lt"/>
              <a:ea typeface="+mn-ea"/>
              <a:cs typeface="+mn-cs"/>
            </a:rPr>
            <a:t>) exactly.</a:t>
          </a:r>
        </a:p>
        <a:p>
          <a:r>
            <a:rPr lang="en-US" sz="1100">
              <a:solidFill>
                <a:schemeClr val="dk1"/>
              </a:solidFill>
              <a:effectLst/>
              <a:latin typeface="+mn-lt"/>
              <a:ea typeface="+mn-ea"/>
              <a:cs typeface="+mn-cs"/>
            </a:rPr>
            <a:t>Ensure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contains the specific value you want to sum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Enter the Formula</a:t>
          </a:r>
        </a:p>
        <a:p>
          <a:r>
            <a:rPr lang="en-US" sz="1100">
              <a:solidFill>
                <a:schemeClr val="dk1"/>
              </a:solidFill>
              <a:effectLst/>
              <a:latin typeface="+mn-lt"/>
              <a:ea typeface="+mn-ea"/>
              <a:cs typeface="+mn-cs"/>
            </a:rPr>
            <a:t>Select cell </a:t>
          </a:r>
          <a:r>
            <a:rPr lang="en-US" sz="1100" b="1">
              <a:solidFill>
                <a:schemeClr val="dk1"/>
              </a:solidFill>
              <a:effectLst/>
              <a:latin typeface="+mn-lt"/>
              <a:ea typeface="+mn-ea"/>
              <a:cs typeface="+mn-cs"/>
            </a:rPr>
            <a:t>E2</a:t>
          </a:r>
          <a:r>
            <a:rPr lang="en-US" sz="1100">
              <a:solidFill>
                <a:schemeClr val="dk1"/>
              </a:solidFill>
              <a:effectLst/>
              <a:latin typeface="+mn-lt"/>
              <a:ea typeface="+mn-ea"/>
              <a:cs typeface="+mn-cs"/>
            </a:rPr>
            <a:t> (where you want the result).</a:t>
          </a:r>
        </a:p>
        <a:p>
          <a:r>
            <a:rPr lang="en-US" sz="1100">
              <a:solidFill>
                <a:schemeClr val="dk1"/>
              </a:solidFill>
              <a:effectLst/>
              <a:latin typeface="+mn-lt"/>
              <a:ea typeface="+mn-ea"/>
              <a:cs typeface="+mn-cs"/>
            </a:rPr>
            <a:t>Type the following formula:</a:t>
          </a:r>
        </a:p>
        <a:p>
          <a:r>
            <a:rPr lang="en-US" sz="1100">
              <a:solidFill>
                <a:schemeClr val="dk1"/>
              </a:solidFill>
              <a:effectLst/>
              <a:latin typeface="+mn-lt"/>
              <a:ea typeface="+mn-ea"/>
              <a:cs typeface="+mn-cs"/>
            </a:rPr>
            <a:t>$$=DSUM(A1:B5, "Sales", D1:D2)$$</a:t>
          </a:r>
        </a:p>
        <a:p>
          <a:r>
            <a:rPr lang="en-US" sz="1100">
              <a:solidFill>
                <a:schemeClr val="dk1"/>
              </a:solidFill>
              <a:effectLst/>
              <a:latin typeface="+mn-lt"/>
              <a:ea typeface="+mn-ea"/>
              <a:cs typeface="+mn-cs"/>
            </a:rPr>
            <a:t>Press </a:t>
          </a:r>
          <a:r>
            <a:rPr lang="en-US" sz="1100" b="1">
              <a:solidFill>
                <a:schemeClr val="dk1"/>
              </a:solidFill>
              <a:effectLst/>
              <a:latin typeface="+mn-lt"/>
              <a:ea typeface="+mn-ea"/>
              <a:cs typeface="+mn-cs"/>
            </a:rPr>
            <a:t>Enter</a:t>
          </a:r>
          <a:r>
            <a:rPr lang="en-US" sz="1100">
              <a:solidFill>
                <a:schemeClr val="dk1"/>
              </a:solidFill>
              <a:effectLst/>
              <a:latin typeface="+mn-lt"/>
              <a:ea typeface="+mn-ea"/>
              <a:cs typeface="+mn-cs"/>
            </a:rPr>
            <a:t>.</a:t>
          </a:r>
        </a:p>
        <a:p>
          <a:br>
            <a:rPr lang="en-US"/>
          </a:br>
          <a:r>
            <a:rPr lang="en-US" sz="1100" b="1">
              <a:solidFill>
                <a:schemeClr val="dk1"/>
              </a:solidFill>
              <a:effectLst/>
              <a:latin typeface="+mn-lt"/>
              <a:ea typeface="+mn-ea"/>
              <a:cs typeface="+mn-cs"/>
            </a:rPr>
            <a:t>Step-by-Step Solution &amp; Walkthrough</a:t>
          </a:r>
        </a:p>
        <a:p>
          <a:r>
            <a:rPr lang="en-US" sz="1100" b="1">
              <a:solidFill>
                <a:schemeClr val="dk1"/>
              </a:solidFill>
              <a:effectLst/>
              <a:latin typeface="+mn-lt"/>
              <a:ea typeface="+mn-ea"/>
              <a:cs typeface="+mn-cs"/>
            </a:rPr>
            <a:t>Scan Database</a:t>
          </a:r>
          <a:r>
            <a:rPr lang="en-US" sz="1100">
              <a:solidFill>
                <a:schemeClr val="dk1"/>
              </a:solidFill>
              <a:effectLst/>
              <a:latin typeface="+mn-lt"/>
              <a:ea typeface="+mn-ea"/>
              <a:cs typeface="+mn-cs"/>
            </a:rPr>
            <a:t>: Excel looks at the "Category" column (Column A) within the range A1:B5.</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Identify Matches</a:t>
          </a:r>
          <a:r>
            <a:rPr lang="en-US" sz="1100">
              <a:solidFill>
                <a:schemeClr val="dk1"/>
              </a:solidFill>
              <a:effectLst/>
              <a:latin typeface="+mn-lt"/>
              <a:ea typeface="+mn-ea"/>
              <a:cs typeface="+mn-cs"/>
            </a:rPr>
            <a:t>: It finds the rows where Category is </a:t>
          </a:r>
          <a:r>
            <a:rPr lang="en-US" sz="1100" b="1">
              <a:solidFill>
                <a:schemeClr val="dk1"/>
              </a:solidFill>
              <a:effectLst/>
              <a:latin typeface="+mn-lt"/>
              <a:ea typeface="+mn-ea"/>
              <a:cs typeface="+mn-cs"/>
            </a:rPr>
            <a:t>"Fruit"</a:t>
          </a:r>
          <a:r>
            <a:rPr lang="en-US" sz="1100">
              <a:solidFill>
                <a:schemeClr val="dk1"/>
              </a:solidFill>
              <a:effectLst/>
              <a:latin typeface="+mn-lt"/>
              <a:ea typeface="+mn-ea"/>
              <a:cs typeface="+mn-cs"/>
            </a:rPr>
            <a:t> (Rows 2 and 4).</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Locate Values</a:t>
          </a:r>
          <a:r>
            <a:rPr lang="en-US" sz="1100">
              <a:solidFill>
                <a:schemeClr val="dk1"/>
              </a:solidFill>
              <a:effectLst/>
              <a:latin typeface="+mn-lt"/>
              <a:ea typeface="+mn-ea"/>
              <a:cs typeface="+mn-cs"/>
            </a:rPr>
            <a:t>: It looks at the "Sales" column (Column B) for those specific rows.</a:t>
          </a:r>
        </a:p>
        <a:p>
          <a:pPr lvl="1"/>
          <a:r>
            <a:rPr lang="en-US" sz="1100">
              <a:solidFill>
                <a:schemeClr val="dk1"/>
              </a:solidFill>
              <a:effectLst/>
              <a:latin typeface="+mn-lt"/>
              <a:ea typeface="+mn-ea"/>
              <a:cs typeface="+mn-cs"/>
            </a:rPr>
            <a:t>Row 2 Sales: </a:t>
          </a:r>
          <a:r>
            <a:rPr lang="en-US" sz="1100" b="1">
              <a:solidFill>
                <a:schemeClr val="dk1"/>
              </a:solidFill>
              <a:effectLst/>
              <a:latin typeface="+mn-lt"/>
              <a:ea typeface="+mn-ea"/>
              <a:cs typeface="+mn-cs"/>
            </a:rPr>
            <a:t>100</a:t>
          </a:r>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Row 4 Sales: </a:t>
          </a:r>
          <a:r>
            <a:rPr lang="en-US" sz="1100" b="1">
              <a:solidFill>
                <a:schemeClr val="dk1"/>
              </a:solidFill>
              <a:effectLst/>
              <a:latin typeface="+mn-lt"/>
              <a:ea typeface="+mn-ea"/>
              <a:cs typeface="+mn-cs"/>
            </a:rPr>
            <a:t>150</a:t>
          </a:r>
          <a:endParaRPr lang="en-US" sz="1100">
            <a:solidFill>
              <a:schemeClr val="dk1"/>
            </a:solidFill>
            <a:effectLst/>
            <a:latin typeface="+mn-lt"/>
            <a:ea typeface="+mn-ea"/>
            <a:cs typeface="+mn-cs"/>
          </a:endParaRP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Final Calculation</a:t>
          </a:r>
          <a:r>
            <a:rPr lang="en-US" sz="1100">
              <a:solidFill>
                <a:schemeClr val="dk1"/>
              </a:solidFill>
              <a:effectLst/>
              <a:latin typeface="+mn-lt"/>
              <a:ea typeface="+mn-ea"/>
              <a:cs typeface="+mn-cs"/>
            </a:rPr>
            <a:t>: It sums those values ($100 + 150$).</a:t>
          </a:r>
        </a:p>
        <a:p>
          <a:r>
            <a:rPr lang="en-US" sz="1100" b="1">
              <a:solidFill>
                <a:schemeClr val="dk1"/>
              </a:solidFill>
              <a:effectLst/>
              <a:latin typeface="+mn-lt"/>
              <a:ea typeface="+mn-ea"/>
              <a:cs typeface="+mn-cs"/>
            </a:rPr>
            <a:t>Result</a:t>
          </a:r>
          <a:r>
            <a:rPr lang="en-US" sz="1100">
              <a:solidFill>
                <a:schemeClr val="dk1"/>
              </a:solidFill>
              <a:effectLst/>
              <a:latin typeface="+mn-lt"/>
              <a:ea typeface="+mn-ea"/>
              <a:cs typeface="+mn-cs"/>
            </a:rPr>
            <a:t>: The value </a:t>
          </a:r>
          <a:r>
            <a:rPr lang="en-US" sz="1100" b="1">
              <a:solidFill>
                <a:schemeClr val="dk1"/>
              </a:solidFill>
              <a:effectLst/>
              <a:latin typeface="+mn-lt"/>
              <a:ea typeface="+mn-ea"/>
              <a:cs typeface="+mn-cs"/>
            </a:rPr>
            <a:t>250</a:t>
          </a:r>
          <a:r>
            <a:rPr lang="en-US" sz="1100">
              <a:solidFill>
                <a:schemeClr val="dk1"/>
              </a:solidFill>
              <a:effectLst/>
              <a:latin typeface="+mn-lt"/>
              <a:ea typeface="+mn-ea"/>
              <a:cs typeface="+mn-cs"/>
            </a:rPr>
            <a:t> will appear in cell E2.</a:t>
          </a:r>
        </a:p>
        <a:p>
          <a:br>
            <a:rPr lang="en-US"/>
          </a:br>
          <a:r>
            <a:rPr lang="en-US" sz="1100" b="1">
              <a:solidFill>
                <a:schemeClr val="dk1"/>
              </a:solidFill>
              <a:effectLst/>
              <a:latin typeface="+mn-lt"/>
              <a:ea typeface="+mn-ea"/>
              <a:cs typeface="+mn-cs"/>
            </a:rPr>
            <a:t>Instructor Note </a:t>
          </a:r>
        </a:p>
        <a:p>
          <a:r>
            <a:rPr lang="en-US" sz="1100">
              <a:solidFill>
                <a:schemeClr val="dk1"/>
              </a:solidFill>
              <a:effectLst/>
              <a:latin typeface="+mn-lt"/>
              <a:ea typeface="+mn-ea"/>
              <a:cs typeface="+mn-cs"/>
            </a:rPr>
            <a:t>A common point of confusion for students is why we don't just use SUMIF.</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Advantage of DSUM:</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While SUMIF is great for simple tasks, DSUM is much more powerful for complex data science workflows because: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Readability:</a:t>
          </a:r>
          <a:r>
            <a:rPr lang="en-US" sz="1100">
              <a:solidFill>
                <a:schemeClr val="dk1"/>
              </a:solidFill>
              <a:effectLst/>
              <a:latin typeface="+mn-lt"/>
              <a:ea typeface="+mn-ea"/>
              <a:cs typeface="+mn-cs"/>
            </a:rPr>
            <a:t> The criteria are visible on the spreadsheet, not hidden inside a long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Logic:</a:t>
          </a:r>
          <a:r>
            <a:rPr lang="en-US" sz="1100">
              <a:solidFill>
                <a:schemeClr val="dk1"/>
              </a:solidFill>
              <a:effectLst/>
              <a:latin typeface="+mn-lt"/>
              <a:ea typeface="+mn-ea"/>
              <a:cs typeface="+mn-cs"/>
            </a:rPr>
            <a:t> You can easily change the criteria from "Fruit" to "Veg" by just typing in cell </a:t>
          </a:r>
          <a:r>
            <a:rPr lang="en-US" sz="1100" b="1">
              <a:solidFill>
                <a:schemeClr val="dk1"/>
              </a:solidFill>
              <a:effectLst/>
              <a:latin typeface="+mn-lt"/>
              <a:ea typeface="+mn-ea"/>
              <a:cs typeface="+mn-cs"/>
            </a:rPr>
            <a:t>D2</a:t>
          </a:r>
          <a:r>
            <a:rPr lang="en-US" sz="1100">
              <a:solidFill>
                <a:schemeClr val="dk1"/>
              </a:solidFill>
              <a:effectLst/>
              <a:latin typeface="+mn-lt"/>
              <a:ea typeface="+mn-ea"/>
              <a:cs typeface="+mn-cs"/>
            </a:rPr>
            <a:t>, and the total updates instantly without touching the formula.</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Advanced Logic:</a:t>
          </a:r>
          <a:r>
            <a:rPr lang="en-US" sz="1100">
              <a:solidFill>
                <a:schemeClr val="dk1"/>
              </a:solidFill>
              <a:effectLst/>
              <a:latin typeface="+mn-lt"/>
              <a:ea typeface="+mn-ea"/>
              <a:cs typeface="+mn-cs"/>
            </a:rPr>
            <a:t> If you wanted to sum "Fruit" with Sales "&gt;120", you just add a Sales header to your criteria range.</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Warning:</a:t>
          </a:r>
          <a:r>
            <a:rPr lang="en-US" sz="1100">
              <a:solidFill>
                <a:schemeClr val="dk1"/>
              </a:solidFill>
              <a:effectLst/>
              <a:latin typeface="+mn-lt"/>
              <a:ea typeface="+mn-ea"/>
              <a:cs typeface="+mn-cs"/>
            </a:rPr>
            <a:t> If you have a typo in the criteria header (e.g., "Categories" instead of "Category"), the formula will return 0 because it won't be able to map the criteria to the database!</a:t>
          </a:r>
        </a:p>
        <a:p>
          <a:endParaRPr lang="en-US" sz="1100"/>
        </a:p>
      </xdr:txBody>
    </xdr:sp>
    <xdr:clientData/>
  </xdr:twoCellAnchor>
  <xdr:twoCellAnchor>
    <xdr:from>
      <xdr:col>2</xdr:col>
      <xdr:colOff>0</xdr:colOff>
      <xdr:row>24</xdr:row>
      <xdr:rowOff>0</xdr:rowOff>
    </xdr:from>
    <xdr:to>
      <xdr:col>4</xdr:col>
      <xdr:colOff>3727450</xdr:colOff>
      <xdr:row>39</xdr:row>
      <xdr:rowOff>127000</xdr:rowOff>
    </xdr:to>
    <xdr:sp macro="" textlink="">
      <xdr:nvSpPr>
        <xdr:cNvPr id="5" name="TextBox 4">
          <a:extLst>
            <a:ext uri="{FF2B5EF4-FFF2-40B4-BE49-F238E27FC236}">
              <a16:creationId xmlns:a16="http://schemas.microsoft.com/office/drawing/2014/main" id="{05D5526E-5B12-4296-8718-666DE6000FD3}"/>
            </a:ext>
          </a:extLst>
        </xdr:cNvPr>
        <xdr:cNvSpPr txBox="1"/>
      </xdr:nvSpPr>
      <xdr:spPr>
        <a:xfrm>
          <a:off x="1219200" y="4419600"/>
          <a:ext cx="4946650" cy="288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The SUMIF Formula</a:t>
          </a:r>
        </a:p>
        <a:p>
          <a:r>
            <a:rPr lang="en-US" sz="1100">
              <a:solidFill>
                <a:schemeClr val="dk1"/>
              </a:solidFill>
              <a:effectLst/>
              <a:latin typeface="+mn-lt"/>
              <a:ea typeface="+mn-ea"/>
              <a:cs typeface="+mn-cs"/>
            </a:rPr>
            <a:t>	=SUMIF(range, criteria, [sum\_range])</a:t>
          </a:r>
        </a:p>
        <a:p>
          <a:br>
            <a:rPr lang="en-US"/>
          </a:br>
          <a:endParaRPr lang="en-US"/>
        </a:p>
        <a:p>
          <a:r>
            <a:rPr lang="en-US" sz="1100" b="1">
              <a:solidFill>
                <a:schemeClr val="dk1"/>
              </a:solidFill>
              <a:effectLst/>
              <a:latin typeface="+mn-lt"/>
              <a:ea typeface="+mn-ea"/>
              <a:cs typeface="+mn-cs"/>
            </a:rPr>
            <a:t>Enter the Formula</a:t>
          </a:r>
          <a:r>
            <a:rPr lang="en-US" sz="1100">
              <a:solidFill>
                <a:schemeClr val="dk1"/>
              </a:solidFill>
              <a:effectLst/>
              <a:latin typeface="+mn-lt"/>
              <a:ea typeface="+mn-ea"/>
              <a:cs typeface="+mn-cs"/>
            </a:rPr>
            <a:t>:</a:t>
          </a:r>
        </a:p>
        <a:p>
          <a:r>
            <a:rPr lang="en-US" sz="1100">
              <a:solidFill>
                <a:schemeClr val="dk1"/>
              </a:solidFill>
              <a:effectLst/>
              <a:latin typeface="+mn-lt"/>
              <a:ea typeface="+mn-ea"/>
              <a:cs typeface="+mn-cs"/>
            </a:rPr>
            <a:t>	=SUMIF(A2:A5, "Fruit", B2:B5)</a:t>
          </a:r>
        </a:p>
        <a:p>
          <a:endParaRPr lang="en-US" sz="1100"/>
        </a:p>
        <a:p>
          <a:r>
            <a:rPr lang="en-US" b="1"/>
            <a:t>Breakdown of the Formula:</a:t>
          </a:r>
        </a:p>
        <a:p>
          <a:r>
            <a:rPr lang="en-US" b="1"/>
            <a:t>Range (</a:t>
          </a:r>
          <a:r>
            <a:rPr lang="en-US" sz="1100" b="1">
              <a:solidFill>
                <a:schemeClr val="dk1"/>
              </a:solidFill>
              <a:latin typeface="+mn-lt"/>
              <a:ea typeface="+mn-ea"/>
              <a:cs typeface="+mn-cs"/>
            </a:rPr>
            <a:t>A2:A5</a:t>
          </a:r>
          <a:r>
            <a:rPr lang="en-US" b="1"/>
            <a:t>)</a:t>
          </a:r>
          <a:r>
            <a:rPr lang="en-US"/>
            <a:t>: This is the column Excel will search through to find your matches (the "Category" column).</a:t>
          </a:r>
        </a:p>
        <a:p>
          <a:r>
            <a:rPr lang="en-US" b="1"/>
            <a:t>Criteria (</a:t>
          </a:r>
          <a:r>
            <a:rPr lang="en-US" sz="1100" b="1">
              <a:solidFill>
                <a:schemeClr val="dk1"/>
              </a:solidFill>
              <a:latin typeface="+mn-lt"/>
              <a:ea typeface="+mn-ea"/>
              <a:cs typeface="+mn-cs"/>
            </a:rPr>
            <a:t>"Fruit"</a:t>
          </a:r>
          <a:r>
            <a:rPr lang="en-US" b="1"/>
            <a:t>)</a:t>
          </a:r>
          <a:r>
            <a:rPr lang="en-US"/>
            <a:t>: This is what you are looking for. Since it is text, it must be in double quotes.</a:t>
          </a:r>
        </a:p>
        <a:p>
          <a:pPr lvl="1"/>
          <a:r>
            <a:rPr lang="en-US" i="1"/>
            <a:t>Pro-tip:</a:t>
          </a:r>
          <a:r>
            <a:rPr lang="en-US"/>
            <a:t> You can also click on cell </a:t>
          </a:r>
          <a:r>
            <a:rPr lang="en-US" b="1"/>
            <a:t>D2</a:t>
          </a:r>
          <a:r>
            <a:rPr lang="en-US"/>
            <a:t> instead of typing "Fruit" to make the formula dynamic!</a:t>
          </a:r>
        </a:p>
        <a:p>
          <a:r>
            <a:rPr lang="en-US" b="1"/>
            <a:t>Sum_Range (</a:t>
          </a:r>
          <a:r>
            <a:rPr lang="en-US" sz="1100" b="1">
              <a:solidFill>
                <a:schemeClr val="dk1"/>
              </a:solidFill>
              <a:latin typeface="+mn-lt"/>
              <a:ea typeface="+mn-ea"/>
              <a:cs typeface="+mn-cs"/>
            </a:rPr>
            <a:t>B2:B5</a:t>
          </a:r>
          <a:r>
            <a:rPr lang="en-US" b="1"/>
            <a:t>)</a:t>
          </a:r>
          <a:r>
            <a:rPr lang="en-US"/>
            <a:t>: This is the column containing the numbers you want to add up (the "Sales" column).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1456-9FBA-47D2-9BA4-52D22547D1F7}">
  <dimension ref="A1:C23"/>
  <sheetViews>
    <sheetView topLeftCell="A21" workbookViewId="0">
      <selection activeCell="B23" sqref="B23"/>
    </sheetView>
  </sheetViews>
  <sheetFormatPr defaultRowHeight="15" x14ac:dyDescent="0.25"/>
  <sheetData>
    <row r="1" spans="1:3" x14ac:dyDescent="0.25">
      <c r="A1" s="13" t="s">
        <v>78</v>
      </c>
    </row>
    <row r="2" spans="1:3" x14ac:dyDescent="0.25">
      <c r="A2" s="13" t="s">
        <v>79</v>
      </c>
    </row>
    <row r="3" spans="1:3" x14ac:dyDescent="0.25">
      <c r="A3" s="4" t="s">
        <v>80</v>
      </c>
      <c r="B3">
        <f>5*(2+3)</f>
        <v>25</v>
      </c>
    </row>
    <row r="6" spans="1:3" x14ac:dyDescent="0.25">
      <c r="A6" s="13" t="s">
        <v>81</v>
      </c>
    </row>
    <row r="7" spans="1:3" ht="17.25" x14ac:dyDescent="0.25">
      <c r="A7" s="13" t="s">
        <v>82</v>
      </c>
    </row>
    <row r="8" spans="1:3" x14ac:dyDescent="0.25">
      <c r="A8" s="4" t="s">
        <v>80</v>
      </c>
      <c r="B8">
        <f>3*2^2</f>
        <v>12</v>
      </c>
    </row>
    <row r="11" spans="1:3" x14ac:dyDescent="0.25">
      <c r="A11" s="13" t="s">
        <v>83</v>
      </c>
    </row>
    <row r="12" spans="1:3" x14ac:dyDescent="0.25">
      <c r="A12" s="13" t="s">
        <v>84</v>
      </c>
    </row>
    <row r="13" spans="1:3" x14ac:dyDescent="0.25">
      <c r="A13" s="4" t="s">
        <v>80</v>
      </c>
      <c r="B13">
        <f>12/3*2</f>
        <v>8</v>
      </c>
      <c r="C13">
        <f>12/(3*2)</f>
        <v>2</v>
      </c>
    </row>
    <row r="16" spans="1:3" x14ac:dyDescent="0.25">
      <c r="A16" s="13" t="s">
        <v>85</v>
      </c>
    </row>
    <row r="17" spans="1:2" x14ac:dyDescent="0.25">
      <c r="A17" s="13" t="s">
        <v>86</v>
      </c>
    </row>
    <row r="18" spans="1:2" x14ac:dyDescent="0.25">
      <c r="A18" s="4" t="s">
        <v>80</v>
      </c>
      <c r="B18">
        <f>10-5+2</f>
        <v>7</v>
      </c>
    </row>
    <row r="21" spans="1:2" x14ac:dyDescent="0.25">
      <c r="A21" s="13" t="s">
        <v>87</v>
      </c>
    </row>
    <row r="22" spans="1:2" ht="17.25" x14ac:dyDescent="0.25">
      <c r="A22" s="13" t="s">
        <v>88</v>
      </c>
    </row>
    <row r="23" spans="1:2" x14ac:dyDescent="0.25">
      <c r="A23" s="4" t="s">
        <v>80</v>
      </c>
      <c r="B23">
        <f>8+(6/2)*3^2-4</f>
        <v>31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workbookViewId="0">
      <selection activeCell="D17" sqref="D17"/>
    </sheetView>
  </sheetViews>
  <sheetFormatPr defaultColWidth="11.28515625" defaultRowHeight="15" x14ac:dyDescent="0.25"/>
  <cols>
    <col min="1" max="1" width="24.28515625" customWidth="1"/>
    <col min="2" max="2" width="9.28515625" customWidth="1"/>
    <col min="3" max="3" width="9.7109375" customWidth="1"/>
    <col min="7" max="7" width="6.28515625" customWidth="1"/>
    <col min="8" max="8" width="10.28515625" customWidth="1"/>
    <col min="9" max="9" width="6.7109375" customWidth="1"/>
    <col min="10" max="10" width="4.85546875" customWidth="1"/>
  </cols>
  <sheetData>
    <row r="1" spans="1:11" ht="45.75" x14ac:dyDescent="0.3">
      <c r="A1" s="11" t="s">
        <v>61</v>
      </c>
      <c r="B1" s="11" t="s">
        <v>0</v>
      </c>
      <c r="C1" s="11" t="s">
        <v>63</v>
      </c>
      <c r="D1" s="12" t="s">
        <v>64</v>
      </c>
      <c r="E1" s="12" t="s">
        <v>65</v>
      </c>
      <c r="F1" s="12" t="s">
        <v>66</v>
      </c>
      <c r="H1" s="10" t="s">
        <v>67</v>
      </c>
      <c r="I1" s="7">
        <v>0.15</v>
      </c>
      <c r="K1" s="8" t="s">
        <v>68</v>
      </c>
    </row>
    <row r="2" spans="1:11" x14ac:dyDescent="0.25">
      <c r="A2" t="s">
        <v>1</v>
      </c>
      <c r="B2">
        <v>1200</v>
      </c>
      <c r="C2">
        <v>2</v>
      </c>
      <c r="D2">
        <f>B2*C2</f>
        <v>2400</v>
      </c>
      <c r="E2">
        <f>D2*$I$1</f>
        <v>360</v>
      </c>
      <c r="F2">
        <f>D2+E2</f>
        <v>2760</v>
      </c>
      <c r="K2" t="s">
        <v>69</v>
      </c>
    </row>
    <row r="3" spans="1:11" x14ac:dyDescent="0.25">
      <c r="A3" t="s">
        <v>3</v>
      </c>
      <c r="B3">
        <v>300</v>
      </c>
      <c r="C3">
        <v>1</v>
      </c>
      <c r="D3">
        <f t="shared" ref="D3:D5" si="0">B3*C3</f>
        <v>300</v>
      </c>
      <c r="E3">
        <f t="shared" ref="E3:E5" si="1">D3*$I$1</f>
        <v>45</v>
      </c>
      <c r="F3">
        <f t="shared" ref="F3:F5" si="2">D3+E3</f>
        <v>345</v>
      </c>
      <c r="K3" t="s">
        <v>70</v>
      </c>
    </row>
    <row r="4" spans="1:11" x14ac:dyDescent="0.25">
      <c r="A4" t="s">
        <v>71</v>
      </c>
      <c r="B4">
        <v>50</v>
      </c>
      <c r="C4">
        <v>4</v>
      </c>
      <c r="D4">
        <f t="shared" si="0"/>
        <v>200</v>
      </c>
      <c r="E4">
        <f t="shared" si="1"/>
        <v>30</v>
      </c>
      <c r="F4">
        <f t="shared" si="2"/>
        <v>230</v>
      </c>
      <c r="K4" t="s">
        <v>72</v>
      </c>
    </row>
    <row r="5" spans="1:11" x14ac:dyDescent="0.25">
      <c r="A5" t="s">
        <v>2</v>
      </c>
      <c r="B5">
        <v>25</v>
      </c>
      <c r="C5">
        <v>10</v>
      </c>
      <c r="D5">
        <f t="shared" si="0"/>
        <v>250</v>
      </c>
      <c r="E5">
        <f t="shared" si="1"/>
        <v>37.5</v>
      </c>
      <c r="F5">
        <f t="shared" si="2"/>
        <v>287.5</v>
      </c>
      <c r="K5" t="s">
        <v>73</v>
      </c>
    </row>
    <row r="6" spans="1:11" x14ac:dyDescent="0.25">
      <c r="K6" t="s">
        <v>74</v>
      </c>
    </row>
    <row r="8" spans="1:11" ht="15.75" x14ac:dyDescent="0.25">
      <c r="A8" s="9" t="s">
        <v>75</v>
      </c>
    </row>
    <row r="9" spans="1:11" x14ac:dyDescent="0.25">
      <c r="A9" s="6" t="s">
        <v>76</v>
      </c>
      <c r="B9" s="6">
        <v>1</v>
      </c>
      <c r="C9" s="6">
        <v>2</v>
      </c>
      <c r="D9" s="6">
        <v>3</v>
      </c>
    </row>
    <row r="10" spans="1:11" x14ac:dyDescent="0.25">
      <c r="A10" t="s">
        <v>77</v>
      </c>
    </row>
    <row r="11" spans="1:11" x14ac:dyDescent="0.25">
      <c r="A11">
        <v>0.05</v>
      </c>
      <c r="B11">
        <f>$A11*B$9</f>
        <v>0.05</v>
      </c>
      <c r="C11">
        <f>$A11*C$9</f>
        <v>0.1</v>
      </c>
      <c r="D11">
        <f t="shared" ref="C11:D11" si="3">$A11*D$9</f>
        <v>0.15000000000000002</v>
      </c>
    </row>
    <row r="12" spans="1:11" x14ac:dyDescent="0.25">
      <c r="A12">
        <v>0.1</v>
      </c>
      <c r="B12">
        <f>$A12*$B$9</f>
        <v>0.1</v>
      </c>
      <c r="C12">
        <f t="shared" ref="C12:D12" si="4">$A12*$B$9</f>
        <v>0.1</v>
      </c>
      <c r="D12">
        <f t="shared" si="4"/>
        <v>0.1</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7BE8-7F65-41AA-BE91-22F868F8EA45}">
  <dimension ref="A1:I12"/>
  <sheetViews>
    <sheetView workbookViewId="0">
      <selection activeCell="C11" sqref="C11"/>
    </sheetView>
  </sheetViews>
  <sheetFormatPr defaultRowHeight="15" x14ac:dyDescent="0.25"/>
  <cols>
    <col min="1" max="1" width="50" customWidth="1"/>
    <col min="2" max="3" width="11" customWidth="1"/>
    <col min="4" max="4" width="21" customWidth="1"/>
    <col min="5" max="5" width="23" customWidth="1"/>
    <col min="6" max="6" width="13" customWidth="1"/>
    <col min="7" max="7" width="6" customWidth="1"/>
    <col min="8" max="8" width="17" customWidth="1"/>
    <col min="9" max="9" width="6" customWidth="1"/>
  </cols>
  <sheetData>
    <row r="1" spans="1:9" x14ac:dyDescent="0.25">
      <c r="A1" t="s">
        <v>61</v>
      </c>
      <c r="B1" t="s">
        <v>0</v>
      </c>
      <c r="C1" t="s">
        <v>63</v>
      </c>
      <c r="D1" t="s">
        <v>64</v>
      </c>
      <c r="E1" t="s">
        <v>65</v>
      </c>
      <c r="F1" t="s">
        <v>66</v>
      </c>
      <c r="H1" t="s">
        <v>67</v>
      </c>
      <c r="I1" s="7">
        <v>0.15</v>
      </c>
    </row>
    <row r="2" spans="1:9" x14ac:dyDescent="0.25">
      <c r="A2" t="s">
        <v>1</v>
      </c>
      <c r="B2">
        <v>1200</v>
      </c>
      <c r="C2">
        <v>2</v>
      </c>
      <c r="D2">
        <f>B2*C2</f>
        <v>2400</v>
      </c>
      <c r="E2">
        <f>D2*$I$1</f>
        <v>360</v>
      </c>
      <c r="F2">
        <f>D2+E2</f>
        <v>2760</v>
      </c>
    </row>
    <row r="3" spans="1:9" x14ac:dyDescent="0.25">
      <c r="A3" t="s">
        <v>3</v>
      </c>
      <c r="B3">
        <v>300</v>
      </c>
      <c r="C3">
        <v>1</v>
      </c>
      <c r="D3">
        <f>B3*C3</f>
        <v>300</v>
      </c>
      <c r="E3">
        <f>D3*$I$1</f>
        <v>45</v>
      </c>
      <c r="F3">
        <f>D3+E3</f>
        <v>345</v>
      </c>
    </row>
    <row r="4" spans="1:9" x14ac:dyDescent="0.25">
      <c r="A4" t="s">
        <v>71</v>
      </c>
      <c r="B4">
        <v>50</v>
      </c>
      <c r="C4">
        <v>4</v>
      </c>
      <c r="D4">
        <f>B4*C4</f>
        <v>200</v>
      </c>
      <c r="E4">
        <f>D4*$I$1</f>
        <v>30</v>
      </c>
      <c r="F4">
        <f>D4+E4</f>
        <v>230</v>
      </c>
    </row>
    <row r="5" spans="1:9" x14ac:dyDescent="0.25">
      <c r="A5" t="s">
        <v>2</v>
      </c>
      <c r="B5">
        <v>25</v>
      </c>
      <c r="C5">
        <v>10</v>
      </c>
      <c r="D5">
        <f>B5*C5</f>
        <v>250</v>
      </c>
      <c r="E5">
        <f>D5*$I$1</f>
        <v>37.5</v>
      </c>
      <c r="F5">
        <f>D5+E5</f>
        <v>287.5</v>
      </c>
    </row>
    <row r="8" spans="1:9" x14ac:dyDescent="0.25">
      <c r="A8" t="s">
        <v>75</v>
      </c>
    </row>
    <row r="9" spans="1:9" x14ac:dyDescent="0.25">
      <c r="A9" t="s">
        <v>76</v>
      </c>
      <c r="B9">
        <v>1</v>
      </c>
      <c r="C9">
        <v>2</v>
      </c>
      <c r="D9">
        <v>3</v>
      </c>
    </row>
    <row r="10" spans="1:9" x14ac:dyDescent="0.25">
      <c r="A10" t="s">
        <v>77</v>
      </c>
    </row>
    <row r="11" spans="1:9" x14ac:dyDescent="0.25">
      <c r="A11">
        <v>0.05</v>
      </c>
      <c r="B11">
        <f>$A11*B$9</f>
        <v>0.05</v>
      </c>
      <c r="C11">
        <f>$A11*C$9</f>
        <v>0.1</v>
      </c>
      <c r="D11">
        <f t="shared" ref="C11:D12" si="0">$A11*D$9</f>
        <v>0.15000000000000002</v>
      </c>
    </row>
    <row r="12" spans="1:9" x14ac:dyDescent="0.25">
      <c r="A12">
        <v>0.1</v>
      </c>
      <c r="B12">
        <f>$A12*B$9</f>
        <v>0.1</v>
      </c>
      <c r="C12">
        <f t="shared" si="0"/>
        <v>0.2</v>
      </c>
      <c r="D12">
        <f t="shared" si="0"/>
        <v>0.30000000000000004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election activeCell="E29" sqref="E29"/>
    </sheetView>
  </sheetViews>
  <sheetFormatPr defaultRowHeight="15" x14ac:dyDescent="0.25"/>
  <cols>
    <col min="1" max="1" width="10.140625" customWidth="1"/>
    <col min="4" max="4" width="60" customWidth="1"/>
    <col min="5" max="5" width="30" customWidth="1"/>
  </cols>
  <sheetData>
    <row r="1" spans="1:5" ht="18.75" x14ac:dyDescent="0.3">
      <c r="A1" s="1" t="s">
        <v>5</v>
      </c>
      <c r="B1" s="1" t="s">
        <v>6</v>
      </c>
      <c r="D1" s="3" t="s">
        <v>7</v>
      </c>
    </row>
    <row r="2" spans="1:5" x14ac:dyDescent="0.25">
      <c r="A2" t="s">
        <v>8</v>
      </c>
      <c r="B2">
        <v>5000</v>
      </c>
      <c r="D2" t="s">
        <v>9</v>
      </c>
    </row>
    <row r="3" spans="1:5" x14ac:dyDescent="0.25">
      <c r="A3" t="s">
        <v>10</v>
      </c>
      <c r="B3">
        <v>6500</v>
      </c>
      <c r="D3" t="s">
        <v>11</v>
      </c>
    </row>
    <row r="4" spans="1:5" x14ac:dyDescent="0.25">
      <c r="A4" t="s">
        <v>12</v>
      </c>
      <c r="B4">
        <v>4800</v>
      </c>
      <c r="D4" t="s">
        <v>13</v>
      </c>
    </row>
    <row r="5" spans="1:5" x14ac:dyDescent="0.25">
      <c r="A5" t="s">
        <v>14</v>
      </c>
      <c r="B5">
        <v>7200</v>
      </c>
    </row>
    <row r="7" spans="1:5" x14ac:dyDescent="0.25">
      <c r="A7" t="s">
        <v>15</v>
      </c>
    </row>
    <row r="10" spans="1:5" x14ac:dyDescent="0.25">
      <c r="D10" s="2" t="s">
        <v>4</v>
      </c>
      <c r="E10">
        <f>SUM(Regional_Sales)</f>
        <v>23500</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activeCell="E23" sqref="E23"/>
    </sheetView>
  </sheetViews>
  <sheetFormatPr defaultRowHeight="15" x14ac:dyDescent="0.25"/>
  <cols>
    <col min="1" max="1" width="11.28515625" bestFit="1" customWidth="1"/>
    <col min="2" max="2" width="10.7109375" customWidth="1"/>
    <col min="5" max="5" width="60" customWidth="1"/>
    <col min="6" max="6" width="30" customWidth="1"/>
  </cols>
  <sheetData>
    <row r="1" spans="1:7" ht="18.75" x14ac:dyDescent="0.3">
      <c r="A1" s="1" t="s">
        <v>16</v>
      </c>
      <c r="B1" s="1" t="s">
        <v>17</v>
      </c>
      <c r="C1" s="1" t="s">
        <v>18</v>
      </c>
      <c r="E1" s="3" t="s">
        <v>7</v>
      </c>
    </row>
    <row r="2" spans="1:7" x14ac:dyDescent="0.25">
      <c r="A2">
        <v>101</v>
      </c>
      <c r="B2" t="s">
        <v>19</v>
      </c>
      <c r="C2">
        <v>85</v>
      </c>
      <c r="E2" t="s">
        <v>20</v>
      </c>
    </row>
    <row r="3" spans="1:7" x14ac:dyDescent="0.25">
      <c r="A3">
        <v>102</v>
      </c>
      <c r="B3" t="s">
        <v>21</v>
      </c>
      <c r="C3">
        <v>92</v>
      </c>
      <c r="E3" t="s">
        <v>22</v>
      </c>
    </row>
    <row r="4" spans="1:7" x14ac:dyDescent="0.25">
      <c r="A4">
        <v>103</v>
      </c>
      <c r="B4" t="s">
        <v>23</v>
      </c>
      <c r="C4">
        <v>78</v>
      </c>
      <c r="E4" t="s">
        <v>24</v>
      </c>
    </row>
    <row r="6" spans="1:7" x14ac:dyDescent="0.25">
      <c r="A6" t="s">
        <v>25</v>
      </c>
      <c r="B6">
        <v>2</v>
      </c>
    </row>
    <row r="7" spans="1:7" x14ac:dyDescent="0.25">
      <c r="A7" t="s">
        <v>26</v>
      </c>
      <c r="B7" t="str">
        <f>INDEX(A1:C4,3,2)</f>
        <v>Bob</v>
      </c>
    </row>
    <row r="10" spans="1:7" x14ac:dyDescent="0.25">
      <c r="E10" s="2" t="s">
        <v>4</v>
      </c>
      <c r="F10" t="str">
        <f>INDEX(A1:C4,3,2)</f>
        <v>Bob</v>
      </c>
      <c r="G10" t="str">
        <f ca="1">_xlfn.FORMULATEXT(F10)</f>
        <v>=INDEX(A1:C4,3,2)</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election activeCell="E22" sqref="E22"/>
    </sheetView>
  </sheetViews>
  <sheetFormatPr defaultRowHeight="15" x14ac:dyDescent="0.25"/>
  <cols>
    <col min="2" max="2" width="12.140625" bestFit="1" customWidth="1"/>
    <col min="5" max="5" width="60" customWidth="1"/>
    <col min="6" max="6" width="30" customWidth="1"/>
  </cols>
  <sheetData>
    <row r="1" spans="1:5" ht="18.75" x14ac:dyDescent="0.3">
      <c r="A1" s="1" t="s">
        <v>27</v>
      </c>
      <c r="B1" s="1" t="s">
        <v>28</v>
      </c>
      <c r="C1" s="1" t="s">
        <v>29</v>
      </c>
      <c r="E1" s="3" t="s">
        <v>7</v>
      </c>
    </row>
    <row r="2" spans="1:5" x14ac:dyDescent="0.25">
      <c r="A2" t="s">
        <v>30</v>
      </c>
      <c r="B2" t="s">
        <v>31</v>
      </c>
      <c r="C2" t="str">
        <f>IF(ISBLANK(B2),"Missing","Complete")</f>
        <v>Complete</v>
      </c>
      <c r="E2" t="s">
        <v>32</v>
      </c>
    </row>
    <row r="3" spans="1:5" x14ac:dyDescent="0.25">
      <c r="A3" t="s">
        <v>33</v>
      </c>
      <c r="C3" t="str">
        <f t="shared" ref="C3:C4" si="0">IF(ISBLANK(B3),"Missing","Complete")</f>
        <v>Missing</v>
      </c>
      <c r="E3" t="s">
        <v>34</v>
      </c>
    </row>
    <row r="4" spans="1:5" x14ac:dyDescent="0.25">
      <c r="A4" t="s">
        <v>35</v>
      </c>
      <c r="B4" t="s">
        <v>36</v>
      </c>
      <c r="C4" t="str">
        <f t="shared" si="0"/>
        <v>Complete</v>
      </c>
      <c r="E4" t="s">
        <v>37</v>
      </c>
    </row>
    <row r="10" spans="1:5" x14ac:dyDescent="0.25">
      <c r="E10" s="2" t="s">
        <v>4</v>
      </c>
    </row>
  </sheetData>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election activeCell="B3" sqref="B3"/>
    </sheetView>
  </sheetViews>
  <sheetFormatPr defaultRowHeight="15" x14ac:dyDescent="0.25"/>
  <cols>
    <col min="1" max="1" width="12.28515625" bestFit="1" customWidth="1"/>
    <col min="5" max="5" width="60" customWidth="1"/>
    <col min="6" max="6" width="30" customWidth="1"/>
  </cols>
  <sheetData>
    <row r="1" spans="1:5" ht="18.75" x14ac:dyDescent="0.3">
      <c r="A1" s="1" t="s">
        <v>38</v>
      </c>
      <c r="B1" s="1" t="s">
        <v>39</v>
      </c>
      <c r="E1" s="3" t="s">
        <v>7</v>
      </c>
    </row>
    <row r="2" spans="1:5" x14ac:dyDescent="0.25">
      <c r="A2" t="s">
        <v>40</v>
      </c>
      <c r="B2" t="str">
        <f>LEFT(A2,3)</f>
        <v>NYC</v>
      </c>
      <c r="E2" t="s">
        <v>41</v>
      </c>
    </row>
    <row r="3" spans="1:5" x14ac:dyDescent="0.25">
      <c r="A3" t="s">
        <v>42</v>
      </c>
      <c r="B3" t="str">
        <f t="shared" ref="B3:B4" si="0">LEFT(A3,3)</f>
        <v>SFO</v>
      </c>
      <c r="E3" t="s">
        <v>43</v>
      </c>
    </row>
    <row r="4" spans="1:5" x14ac:dyDescent="0.25">
      <c r="A4" t="s">
        <v>44</v>
      </c>
      <c r="B4" t="str">
        <f t="shared" si="0"/>
        <v>LON</v>
      </c>
      <c r="E4" t="s">
        <v>45</v>
      </c>
    </row>
    <row r="10" spans="1:5" x14ac:dyDescent="0.25">
      <c r="E10" s="2" t="s">
        <v>4</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election activeCell="E22" sqref="E22"/>
    </sheetView>
  </sheetViews>
  <sheetFormatPr defaultRowHeight="15" x14ac:dyDescent="0.25"/>
  <cols>
    <col min="1" max="1" width="10" bestFit="1" customWidth="1"/>
    <col min="2" max="2" width="9.7109375" bestFit="1" customWidth="1"/>
    <col min="5" max="5" width="60" customWidth="1"/>
    <col min="6" max="6" width="30" customWidth="1"/>
  </cols>
  <sheetData>
    <row r="1" spans="1:5" ht="18.75" x14ac:dyDescent="0.3">
      <c r="A1" s="1" t="s">
        <v>46</v>
      </c>
      <c r="B1" s="1" t="s">
        <v>47</v>
      </c>
      <c r="C1" s="1" t="s">
        <v>48</v>
      </c>
      <c r="E1" s="3" t="s">
        <v>7</v>
      </c>
    </row>
    <row r="2" spans="1:5" x14ac:dyDescent="0.25">
      <c r="A2" t="s">
        <v>49</v>
      </c>
      <c r="B2" t="s">
        <v>50</v>
      </c>
      <c r="C2" t="str">
        <f>_xlfn.CONCAT(A2," ",B2)</f>
        <v>Jane Doe</v>
      </c>
      <c r="E2" t="s">
        <v>51</v>
      </c>
    </row>
    <row r="3" spans="1:5" x14ac:dyDescent="0.25">
      <c r="A3" t="s">
        <v>52</v>
      </c>
      <c r="B3" t="s">
        <v>53</v>
      </c>
      <c r="C3" t="str">
        <f t="shared" ref="C3:C4" si="0">_xlfn.CONCAT(A3," ",B3)</f>
        <v>John Smith</v>
      </c>
      <c r="E3" t="s">
        <v>89</v>
      </c>
    </row>
    <row r="4" spans="1:5" x14ac:dyDescent="0.25">
      <c r="A4" t="s">
        <v>54</v>
      </c>
      <c r="B4" t="s">
        <v>55</v>
      </c>
      <c r="C4" t="str">
        <f t="shared" si="0"/>
        <v>Alan Turing</v>
      </c>
      <c r="E4" t="s">
        <v>56</v>
      </c>
    </row>
    <row r="10" spans="1:5" x14ac:dyDescent="0.25">
      <c r="E10" s="2" t="s">
        <v>4</v>
      </c>
    </row>
  </sheetData>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tabSelected="1" workbookViewId="0">
      <selection activeCell="L27" sqref="L27"/>
    </sheetView>
  </sheetViews>
  <sheetFormatPr defaultRowHeight="15" x14ac:dyDescent="0.25"/>
  <cols>
    <col min="5" max="5" width="60" customWidth="1"/>
    <col min="6" max="6" width="30" customWidth="1"/>
  </cols>
  <sheetData>
    <row r="1" spans="1:5" x14ac:dyDescent="0.25">
      <c r="A1" s="5" t="s">
        <v>57</v>
      </c>
      <c r="B1" s="5" t="s">
        <v>6</v>
      </c>
      <c r="C1" s="5"/>
      <c r="D1" s="5" t="s">
        <v>57</v>
      </c>
      <c r="E1" s="1" t="s">
        <v>58</v>
      </c>
    </row>
    <row r="2" spans="1:5" x14ac:dyDescent="0.25">
      <c r="A2" t="s">
        <v>59</v>
      </c>
      <c r="B2">
        <v>100</v>
      </c>
      <c r="D2" t="s">
        <v>59</v>
      </c>
    </row>
    <row r="3" spans="1:5" x14ac:dyDescent="0.25">
      <c r="A3" t="s">
        <v>60</v>
      </c>
      <c r="B3">
        <v>200</v>
      </c>
    </row>
    <row r="4" spans="1:5" x14ac:dyDescent="0.25">
      <c r="A4" t="s">
        <v>59</v>
      </c>
      <c r="B4">
        <v>150</v>
      </c>
    </row>
    <row r="5" spans="1:5" x14ac:dyDescent="0.25">
      <c r="A5" t="s">
        <v>60</v>
      </c>
      <c r="B5">
        <v>80</v>
      </c>
    </row>
    <row r="10" spans="1:5" x14ac:dyDescent="0.25">
      <c r="B10" s="2" t="s">
        <v>4</v>
      </c>
    </row>
    <row r="11" spans="1:5" x14ac:dyDescent="0.25">
      <c r="B11" s="4" t="s">
        <v>62</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0.PEMDAS</vt:lpstr>
      <vt:lpstr>1. Cell References</vt:lpstr>
      <vt:lpstr>1.1 Sol_cell_references</vt:lpstr>
      <vt:lpstr>2. Named Ranges</vt:lpstr>
      <vt:lpstr>3. INDEX</vt:lpstr>
      <vt:lpstr>4. ISBLANK</vt:lpstr>
      <vt:lpstr>5. LEFT</vt:lpstr>
      <vt:lpstr>6. CONCATENATE</vt:lpstr>
      <vt:lpstr>7. DSUM</vt:lpstr>
      <vt:lpstr>Regional_Sales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Pow Yee Kok</cp:lastModifiedBy>
  <dcterms:created xsi:type="dcterms:W3CDTF">2026-05-14T02:28:01Z</dcterms:created>
  <dcterms:modified xsi:type="dcterms:W3CDTF">2026-10-14T01:14:55Z</dcterms:modified>
</cp:coreProperties>
</file>